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zebra-my.sharepoint.com/personal/nsharma2_zebra_com/Documents/Zebra/"/>
    </mc:Choice>
  </mc:AlternateContent>
  <xr:revisionPtr revIDLastSave="444" documentId="8_{8AD447A1-03EB-42E4-9EA6-2D854F9C7336}" xr6:coauthVersionLast="47" xr6:coauthVersionMax="47" xr10:uidLastSave="{5F0AA0E8-CE2A-47EA-898C-B62ED973AA96}"/>
  <bookViews>
    <workbookView xWindow="-108" yWindow="-108" windowWidth="23256" windowHeight="13896" xr2:uid="{23CDC412-52F6-4B82-ACA5-A7133E4D9D0B}"/>
  </bookViews>
  <sheets>
    <sheet name="Cost" sheetId="1" r:id="rId1"/>
    <sheet name="Project Lists" sheetId="2" r:id="rId2"/>
    <sheet name="SOW list" sheetId="3" r:id="rId3"/>
  </sheets>
  <definedNames>
    <definedName name="_xlnm._FilterDatabase" localSheetId="0" hidden="1">Cost!$A$1:$AQ$19</definedName>
    <definedName name="_xlnm._FilterDatabase" localSheetId="1" hidden="1">'Project Lists'!$B$1:$F$18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7" i="1" l="1"/>
  <c r="U17" i="1"/>
  <c r="Q17" i="1"/>
  <c r="M17" i="1"/>
  <c r="Z17" i="1" s="1"/>
  <c r="F17" i="1"/>
  <c r="D17" i="1"/>
  <c r="G17" i="1" s="1"/>
  <c r="Y16" i="1"/>
  <c r="U16" i="1"/>
  <c r="Q16" i="1"/>
  <c r="M16" i="1"/>
  <c r="Z16" i="1" s="1"/>
  <c r="F16" i="1"/>
  <c r="D16" i="1"/>
  <c r="Y12" i="1"/>
  <c r="U12" i="1"/>
  <c r="Q12" i="1"/>
  <c r="M12" i="1"/>
  <c r="F12" i="1"/>
  <c r="D12" i="1"/>
  <c r="Y11" i="1"/>
  <c r="U11" i="1"/>
  <c r="Q11" i="1"/>
  <c r="M11" i="1"/>
  <c r="F11" i="1"/>
  <c r="D11" i="1"/>
  <c r="G11" i="1" s="1"/>
  <c r="Y15" i="1"/>
  <c r="U15" i="1"/>
  <c r="Q15" i="1"/>
  <c r="M15" i="1"/>
  <c r="F15" i="1"/>
  <c r="D15" i="1"/>
  <c r="Y14" i="1"/>
  <c r="U14" i="1"/>
  <c r="Q14" i="1"/>
  <c r="M14" i="1"/>
  <c r="F14" i="1"/>
  <c r="D14" i="1"/>
  <c r="Y10" i="1"/>
  <c r="U10" i="1"/>
  <c r="Q10" i="1"/>
  <c r="M10" i="1"/>
  <c r="F10" i="1"/>
  <c r="D10" i="1"/>
  <c r="Y9" i="1"/>
  <c r="U9" i="1"/>
  <c r="Q9" i="1"/>
  <c r="M9" i="1"/>
  <c r="F9" i="1"/>
  <c r="D9" i="1"/>
  <c r="Y8" i="1"/>
  <c r="U8" i="1"/>
  <c r="Q8" i="1"/>
  <c r="M8" i="1"/>
  <c r="F8" i="1"/>
  <c r="D8" i="1"/>
  <c r="Y7" i="1"/>
  <c r="U7" i="1"/>
  <c r="Q7" i="1"/>
  <c r="M7" i="1"/>
  <c r="F7" i="1"/>
  <c r="D7" i="1"/>
  <c r="Y13" i="1"/>
  <c r="U13" i="1"/>
  <c r="Q13" i="1"/>
  <c r="M13" i="1"/>
  <c r="F13" i="1"/>
  <c r="D13" i="1"/>
  <c r="Y6" i="1"/>
  <c r="U6" i="1"/>
  <c r="Q6" i="1"/>
  <c r="M6" i="1"/>
  <c r="F6" i="1"/>
  <c r="D6" i="1"/>
  <c r="Y18" i="1"/>
  <c r="U18" i="1"/>
  <c r="Q18" i="1"/>
  <c r="M18" i="1"/>
  <c r="F18" i="1"/>
  <c r="D18" i="1"/>
  <c r="Y5" i="1"/>
  <c r="U5" i="1"/>
  <c r="Q5" i="1"/>
  <c r="M5" i="1"/>
  <c r="F5" i="1"/>
  <c r="D5" i="1"/>
  <c r="Y4" i="1"/>
  <c r="U4" i="1"/>
  <c r="Q4" i="1"/>
  <c r="M4" i="1"/>
  <c r="F4" i="1"/>
  <c r="D4" i="1"/>
  <c r="Y3" i="1"/>
  <c r="U3" i="1"/>
  <c r="Q3" i="1"/>
  <c r="M3" i="1"/>
  <c r="F3" i="1"/>
  <c r="D3" i="1"/>
  <c r="Y2" i="1"/>
  <c r="U2" i="1"/>
  <c r="Q2" i="1"/>
  <c r="M2" i="1"/>
  <c r="F2" i="1"/>
  <c r="D2" i="1"/>
  <c r="G16" i="1" l="1"/>
  <c r="G12" i="1"/>
  <c r="Z12" i="1"/>
  <c r="G10" i="1"/>
  <c r="Z11" i="1"/>
  <c r="Z15" i="1"/>
  <c r="G14" i="1"/>
  <c r="Z14" i="1"/>
  <c r="G15" i="1"/>
  <c r="Z10" i="1"/>
  <c r="Z9" i="1"/>
  <c r="G9" i="1"/>
  <c r="U19" i="1"/>
  <c r="U22" i="1" s="1"/>
  <c r="Y19" i="1"/>
  <c r="Y22" i="1" s="1"/>
  <c r="Q19" i="1"/>
  <c r="Q22" i="1" s="1"/>
  <c r="M19" i="1"/>
  <c r="M22" i="1" s="1"/>
  <c r="G8" i="1"/>
  <c r="Z8" i="1"/>
  <c r="G7" i="1"/>
  <c r="Z7" i="1"/>
  <c r="G6" i="1"/>
  <c r="Z13" i="1"/>
  <c r="G18" i="1"/>
  <c r="G13" i="1"/>
  <c r="Z6" i="1"/>
  <c r="Z18" i="1"/>
  <c r="G3" i="1"/>
  <c r="G5" i="1"/>
  <c r="G2" i="1"/>
  <c r="G4" i="1"/>
  <c r="Z4" i="1"/>
  <c r="Z3" i="1"/>
  <c r="Z5" i="1"/>
  <c r="Z2" i="1"/>
  <c r="Z19" i="1" l="1"/>
  <c r="Z22" i="1" s="1"/>
  <c r="G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tc={0BF6DA4F-43D2-4674-BEFA-09BED4A835C6}</author>
  </authors>
  <commentList>
    <comment ref="R14" authorId="0" shapeId="0" xr:uid="{0BF6DA4F-43D2-4674-BEFA-09BED4A835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@Gomathinayagam, Palanivel @Sharma, Nimesh Should this be removed for Anujith?
Reply:
    @Waldron, Mathew - Anujith will be funded from NGPC in Q3 and Q4 only @Sharma, Nimesh </t>
      </text>
    </comment>
  </commentList>
</comments>
</file>

<file path=xl/sharedStrings.xml><?xml version="1.0" encoding="utf-8"?>
<sst xmlns="http://schemas.openxmlformats.org/spreadsheetml/2006/main" count="274" uniqueCount="112">
  <si>
    <t>Name</t>
  </si>
  <si>
    <t>Project</t>
  </si>
  <si>
    <t>Functional team</t>
  </si>
  <si>
    <t>Monthly Rate</t>
  </si>
  <si>
    <t>Hourly Rate</t>
  </si>
  <si>
    <t>Duration</t>
  </si>
  <si>
    <t>Cost</t>
  </si>
  <si>
    <t>Role</t>
  </si>
  <si>
    <t>Location</t>
  </si>
  <si>
    <t>Q1</t>
  </si>
  <si>
    <t>Q2</t>
  </si>
  <si>
    <t>Q3</t>
  </si>
  <si>
    <t>Q4</t>
  </si>
  <si>
    <t>Total Cost</t>
  </si>
  <si>
    <t>Available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</si>
  <si>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</si>
  <si>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</si>
  <si>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</si>
  <si>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</si>
  <si>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</si>
  <si>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</si>
  <si>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</si>
  <si>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</si>
  <si>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</si>
  <si>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</si>
  <si>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</si>
  <si>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</si>
  <si>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Vendor</t>
  </si>
  <si>
    <t>Resource Name</t>
  </si>
  <si>
    <t>Budget</t>
  </si>
  <si>
    <t>Function</t>
  </si>
  <si>
    <t>Devanshu Mishra</t>
  </si>
  <si>
    <t>NGPC</t>
  </si>
  <si>
    <t>Channels</t>
  </si>
  <si>
    <t>SFDC - Developer</t>
  </si>
  <si>
    <t>Offshore</t>
  </si>
  <si>
    <t>Infosys</t>
  </si>
  <si>
    <t>Vinod Kumar Yadav</t>
  </si>
  <si>
    <t>Sahana SS</t>
  </si>
  <si>
    <t>Dhiraj Mahendra Mahate</t>
  </si>
  <si>
    <t>Sundar Rajan Anbazhagan</t>
  </si>
  <si>
    <t>Isha Parekh</t>
  </si>
  <si>
    <t>Marketing</t>
  </si>
  <si>
    <t>Gaurav Bisht</t>
  </si>
  <si>
    <t>Sales</t>
  </si>
  <si>
    <t>Asish Kumar Yadav</t>
  </si>
  <si>
    <t>Manisha Kumari</t>
  </si>
  <si>
    <t>Sameer Replacement</t>
  </si>
  <si>
    <t>Pragya Porwal</t>
  </si>
  <si>
    <t>Services</t>
  </si>
  <si>
    <t>Cap</t>
  </si>
  <si>
    <t>Dhatchinamoorthy</t>
  </si>
  <si>
    <t>Anujith Vinod</t>
  </si>
  <si>
    <t>SFDC - Senior Developer</t>
  </si>
  <si>
    <t>Onsite</t>
  </si>
  <si>
    <t xml:space="preserve">- </t>
  </si>
  <si>
    <t xml:space="preserve">GCP </t>
  </si>
  <si>
    <t>GCP</t>
  </si>
  <si>
    <t>GCP Resource</t>
  </si>
  <si>
    <t>Tiger</t>
  </si>
  <si>
    <t>ZDL- PowerBI</t>
  </si>
  <si>
    <t>QA</t>
  </si>
  <si>
    <t>QA Resource</t>
  </si>
  <si>
    <t>BU</t>
  </si>
  <si>
    <t>Project Name</t>
  </si>
  <si>
    <t>Start Date</t>
  </si>
  <si>
    <t>End Date</t>
  </si>
  <si>
    <t>Type Of Funding</t>
  </si>
  <si>
    <t>Channels - Ease of Doing Business - DR/Demo Changes</t>
  </si>
  <si>
    <t>NGPC - NAL Lookup Tool</t>
  </si>
  <si>
    <t>NGPC - Disti Analytics Tool ( Rebates Dashboard)</t>
  </si>
  <si>
    <t>NGPC - 2026</t>
  </si>
  <si>
    <t>Channels - DevOps</t>
  </si>
  <si>
    <t>TwoGether</t>
  </si>
  <si>
    <t>MDF</t>
  </si>
  <si>
    <t>Disti Rebates - Phase 2</t>
  </si>
  <si>
    <t xml:space="preserve">Marketing </t>
  </si>
  <si>
    <t>How to Buy Phase 2</t>
  </si>
  <si>
    <t>PC Grid</t>
  </si>
  <si>
    <t>Reference Nomination - Robert McLeaod Work</t>
  </si>
  <si>
    <t>SOW Name</t>
  </si>
  <si>
    <t>Value ($)</t>
  </si>
  <si>
    <t>CR ($)</t>
  </si>
  <si>
    <t>CR End Date</t>
  </si>
  <si>
    <t>SOW Status</t>
  </si>
  <si>
    <t>PO number</t>
  </si>
  <si>
    <t>Resources</t>
  </si>
  <si>
    <t>Staffing</t>
  </si>
  <si>
    <t> Staffing</t>
  </si>
  <si>
    <t>Rate/Hr($)</t>
  </si>
  <si>
    <t>Per Month Cost ($)</t>
  </si>
  <si>
    <t>Remarks</t>
  </si>
  <si>
    <t xml:space="preserve">Start Date </t>
  </si>
  <si>
    <t xml:space="preserve">End Date </t>
  </si>
  <si>
    <t xml:space="preserve">0120 SFDC Development Resources </t>
  </si>
  <si>
    <t>Signed</t>
  </si>
  <si>
    <t>Canada</t>
  </si>
  <si>
    <t>Sundar Anbazhagan</t>
  </si>
  <si>
    <t>India</t>
  </si>
  <si>
    <t>  6,098.40</t>
  </si>
  <si>
    <t>Ankita Roy</t>
  </si>
  <si>
    <t>Sameer Pandey</t>
  </si>
  <si>
    <t>0122 SFDC Developer Request</t>
  </si>
  <si>
    <t>SOW &amp; CR Signed</t>
  </si>
  <si>
    <t>Mohit Ramnath Kashyap</t>
  </si>
  <si>
    <t>111748977(CR)</t>
  </si>
  <si>
    <t>0129 Thales Migration</t>
  </si>
  <si>
    <t>Dhiraj Mahendra Marathe</t>
  </si>
  <si>
    <t>0132 Salesforce Offshore Developers Request</t>
  </si>
  <si>
    <t>Ashish Kumar Yadav</t>
  </si>
  <si>
    <t>Devanshu Rajeshkumar Mishra</t>
  </si>
  <si>
    <t>Replacement for Anmol Baweja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</si>
</sst>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8" formatCode="&quot;$&quot;#,##0.00;[Red]\-&quot;$&quot;#,##0.00"/>
    <numFmt numFmtId="164" formatCode="&quot;$&quot;#,##0_);[Red]\(&quot;$&quot;#,##0\)"/>
    <numFmt numFmtId="165" formatCode="_(&quot;$&quot;* #,##0.00_);_(&quot;$&quot;* \(#,##0.0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71">
    <xf numFmtId="0" fontId="0" fillId="0" borderId="0" xfId="0"/>
    <xf numFmtId="0" fontId="2" fillId="2" borderId="0" xfId="0" applyFont="1" applyFill="1" applyAlignment="1">
      <alignment wrapText="1"/>
    </xf>
    <xf numFmtId="0" fontId="2" fillId="2" borderId="0" xfId="0" applyFont="1" applyFill="1"/>
    <xf numFmtId="165" fontId="2" fillId="2" borderId="0" xfId="1" applyFont="1" applyFill="1"/>
    <xf numFmtId="17" fontId="2" fillId="2" borderId="0" xfId="0" applyNumberFormat="1" applyFont="1" applyFill="1"/>
    <xf numFmtId="0" fontId="0" fillId="0" borderId="0" xfId="0" applyAlignment="1">
      <alignment wrapText="1"/>
    </xf>
    <xf numFmtId="165" fontId="0" fillId="0" borderId="0" xfId="1" applyFont="1"/>
    <xf numFmtId="0" fontId="2" fillId="0" borderId="0" xfId="0" applyFont="1" applyAlignment="1">
      <alignment wrapText="1"/>
    </xf>
    <xf numFmtId="0" fontId="2" fillId="0" borderId="0" xfId="0" applyFont="1"/>
    <xf numFmtId="165" fontId="2" fillId="0" borderId="0" xfId="1" applyFont="1"/>
    <xf numFmtId="165" fontId="2" fillId="3" borderId="0" xfId="1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4" fillId="4" borderId="1" xfId="0" applyFont="1" applyFill="1" applyBorder="1"/>
    <xf numFmtId="0" fontId="2" fillId="0" borderId="1" xfId="0" applyFont="1" applyBorder="1"/>
    <xf numFmtId="0" fontId="0" fillId="0" borderId="1" xfId="0" applyBorder="1"/>
    <xf numFmtId="15" fontId="0" fillId="0" borderId="1" xfId="0" applyNumberFormat="1" applyBorder="1"/>
    <xf numFmtId="14" fontId="0" fillId="0" borderId="1" xfId="0" applyNumberFormat="1" applyBorder="1"/>
    <xf numFmtId="0" fontId="5" fillId="5" borderId="3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6" fillId="6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/>
    </xf>
    <xf numFmtId="15" fontId="6" fillId="6" borderId="5" xfId="0" applyNumberFormat="1" applyFont="1" applyFill="1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9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8" fontId="6" fillId="0" borderId="9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center" vertical="center"/>
    </xf>
    <xf numFmtId="15" fontId="6" fillId="0" borderId="9" xfId="0" applyNumberFormat="1" applyFont="1" applyBorder="1" applyAlignment="1">
      <alignment vertical="center"/>
    </xf>
    <xf numFmtId="0" fontId="6" fillId="0" borderId="9" xfId="0" applyFont="1" applyBorder="1" applyAlignment="1">
      <alignment vertical="center"/>
    </xf>
    <xf numFmtId="15" fontId="6" fillId="0" borderId="5" xfId="0" applyNumberFormat="1" applyFont="1" applyBorder="1" applyAlignment="1">
      <alignment vertical="center"/>
    </xf>
    <xf numFmtId="15" fontId="6" fillId="0" borderId="10" xfId="0" applyNumberFormat="1" applyFont="1" applyBorder="1" applyAlignment="1">
      <alignment vertical="center"/>
    </xf>
    <xf numFmtId="0" fontId="7" fillId="7" borderId="0" xfId="0" applyFont="1" applyFill="1"/>
    <xf numFmtId="165" fontId="7" fillId="7" borderId="0" xfId="1" applyFont="1" applyFill="1"/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8" fontId="6" fillId="0" borderId="2" xfId="0" applyNumberFormat="1" applyFont="1" applyBorder="1" applyAlignment="1">
      <alignment horizontal="center" vertical="center"/>
    </xf>
    <xf numFmtId="8" fontId="6" fillId="0" borderId="7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5" fontId="6" fillId="0" borderId="2" xfId="0" applyNumberFormat="1" applyFont="1" applyBorder="1" applyAlignment="1">
      <alignment vertical="center"/>
    </xf>
    <xf numFmtId="15" fontId="6" fillId="0" borderId="7" xfId="0" applyNumberFormat="1" applyFont="1" applyBorder="1" applyAlignment="1">
      <alignment vertical="center"/>
    </xf>
    <xf numFmtId="15" fontId="6" fillId="0" borderId="2" xfId="0" applyNumberFormat="1" applyFont="1" applyBorder="1" applyAlignment="1">
      <alignment horizontal="center" vertical="center"/>
    </xf>
    <xf numFmtId="15" fontId="6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5" fontId="6" fillId="6" borderId="2" xfId="0" applyNumberFormat="1" applyFont="1" applyFill="1" applyBorder="1" applyAlignment="1">
      <alignment vertical="center" wrapText="1"/>
    </xf>
    <xf numFmtId="15" fontId="6" fillId="6" borderId="4" xfId="0" applyNumberFormat="1" applyFont="1" applyFill="1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8" fontId="6" fillId="0" borderId="8" xfId="0" applyNumberFormat="1" applyFont="1" applyBorder="1" applyAlignment="1">
      <alignment horizontal="right" vertical="center" wrapText="1"/>
    </xf>
    <xf numFmtId="8" fontId="6" fillId="0" borderId="4" xfId="0" applyNumberFormat="1" applyFont="1" applyBorder="1" applyAlignment="1">
      <alignment horizontal="right" vertical="center" wrapText="1"/>
    </xf>
    <xf numFmtId="15" fontId="6" fillId="0" borderId="8" xfId="0" applyNumberFormat="1" applyFont="1" applyBorder="1" applyAlignment="1">
      <alignment vertical="center" wrapText="1"/>
    </xf>
    <xf numFmtId="15" fontId="6" fillId="0" borderId="4" xfId="0" applyNumberFormat="1" applyFont="1" applyBorder="1" applyAlignment="1">
      <alignment vertical="center" wrapText="1"/>
    </xf>
    <xf numFmtId="15" fontId="6" fillId="0" borderId="8" xfId="0" applyNumberFormat="1" applyFont="1" applyBorder="1" applyAlignment="1">
      <alignment horizontal="center" vertical="center" wrapText="1"/>
    </xf>
    <xf numFmtId="15" fontId="6" fillId="0" borderId="4" xfId="0" applyNumberFormat="1" applyFont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6" fontId="6" fillId="0" borderId="2" xfId="0" applyNumberFormat="1" applyFont="1" applyBorder="1" applyAlignment="1">
      <alignment horizontal="right" vertical="center"/>
    </xf>
    <xf numFmtId="6" fontId="6" fillId="0" borderId="6" xfId="0" applyNumberFormat="1" applyFont="1" applyBorder="1" applyAlignment="1">
      <alignment horizontal="right" vertical="center"/>
    </xf>
    <xf numFmtId="6" fontId="6" fillId="0" borderId="7" xfId="0" applyNumberFormat="1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15" fontId="6" fillId="0" borderId="6" xfId="0" applyNumberFormat="1" applyFont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>
  <Task id="{B9BF7B65-A12D-46FE-A9F4-88FE64EA7F80}">
    <Anchor>
      <Comment id="{0BF6DA4F-43D2-4674-BEFA-09BED4A835C6}"/>
    </Anchor>
    <History>
      <Event time="2025-12-02T09:07:21.96" id="{5DDC49F9-A18A-463F-B56A-74B25018258B}">
        <Attribution userId="S::MWaldron2@zebra.com::0c666b01-20f5-4e9e-8af0-7e9e32f8a227" userName="Waldron, Mathew" userProvider="AD"/>
        <Anchor>
          <Comment id="{0BF6DA4F-43D2-4674-BEFA-09BED4A835C6}"/>
        </Anchor>
        <Create/>
      </Event>
      <Event time="2025-12-02T09:07:21.96" id="{457E7744-78C4-4D2B-AADB-A4F121A1D371}">
        <Attribution userId="S::MWaldron2@zebra.com::0c666b01-20f5-4e9e-8af0-7e9e32f8a227" userName="Waldron, Mathew" userProvider="AD"/>
        <Anchor>
          <Comment id="{0BF6DA4F-43D2-4674-BEFA-09BED4A835C6}"/>
        </Anchor>
        <Assign userId="S::RCT468@zebra.com::8be230ad-e7ec-414b-af62-2dea3c62a959" userName="Gomathinayagam, Palanivel" userProvider="AD"/>
      </Event>
      <Event time="2025-12-02T09:07:21.96" id="{002CA444-FE48-49AE-B79B-AA8BFA513A4E}">
        <Attribution userId="S::MWaldron2@zebra.com::0c666b01-20f5-4e9e-8af0-7e9e32f8a227" userName="Waldron, Mathew" userProvider="AD"/>
        <Anchor>
          <Comment id="{0BF6DA4F-43D2-4674-BEFA-09BED4A835C6}"/>
        </Anchor>
        <SetTitle title="@Gomathinayagam, Palanivel @Sharma, Nimesh Should this be removed for Anujith?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Gomathinayagam, Palanivel" id="{354B928F-267A-4518-8B3E-49611C353A55}" userId="RCT468@zebra.com" providerId="PeoplePicker"/>
  <person displayName="Sharma, Nimesh" id="{9B0F8377-F5BF-4E7A-9748-92B397D53C5D}" userId="NSharma2@zebra.com" providerId="PeoplePicker"/>
  <person displayName="Waldron, Mathew" id="{4DDE08FB-C792-4B3B-BF64-8C7CAD63767C}" userId="MWaldron2@zebra.com" providerId="PeoplePicker"/>
  <person displayName="Gomathinayagam, Palanivel" id="{4AD0DF67-8BC8-43B1-ACFE-494D38887CAA}" userId="S::rct468@zebra.com::8be230ad-e7ec-414b-af62-2dea3c62a959" providerId="AD"/>
  <person displayName="Waldron, Mathew" id="{9446B292-EEB0-43A2-9F8F-FCBF1503C247}" userId="S::MWaldron2@zebra.com::0c666b01-20f5-4e9e-8af0-7e9e32f8a22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12-02T09:07:21.96" personId="{9446B292-EEB0-43A2-9F8F-FCBF1503C247}" id="{0BF6DA4F-43D2-4674-BEFA-09BED4A835C6}">
    <text>@Gomathinayagam, Palanivel @Sharma, Nimesh Should this be removed for Anujith?</text>
    <mentions>
      <mention mentionpersonId="{354B928F-267A-4518-8B3E-49611C353A55}" mentionId="{702BEFDB-A4BE-4C7A-AED9-3A8B6F822514}" startIndex="0" length="26"/>
      <mention mentionpersonId="{9B0F8377-F5BF-4E7A-9748-92B397D53C5D}" mentionId="{F72E91F9-216C-4549-B94F-8C9C99349DFC}" startIndex="27" length="15"/>
    </mentions>
  </threadedComment>
  <threadedComment ref="R14" dT="2025-12-02T12:21:35.45" personId="{4AD0DF67-8BC8-43B1-ACFE-494D38887CAA}" id="{72CC6B0E-F8C4-4A86-B680-C548042E79A7}" parentId="{0BF6DA4F-43D2-4674-BEFA-09BED4A835C6}">
    <text xml:space="preserve">@Waldron, Mathew - Anujith will be funded from NGPC in Q3 and Q4 only @Sharma, Nimesh </text>
    <mentions>
      <mention mentionpersonId="{4DDE08FB-C792-4B3B-BF64-8C7CAD63767C}" mentionId="{69887A6C-65C7-498F-85B7-1076A47A4495}" startIndex="0" length="16"/>
      <mention mentionpersonId="{9B0F8377-F5BF-4E7A-9748-92B397D53C5D}" mentionId="{88017109-70B3-48EE-A4A1-E9865D33D91C}" startIndex="7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98A4-FC69-48EC-9428-04569167830C}">
  <dimension ref="A1:AQ22"/>
  <sheetViews>
    <sheetView tabSelected="1" workbookViewId="0">
      <selection activeCell="I8" sqref="I8"/>
    </sheetView>
  </sheetViews>
  <sheetFormatPr defaultRowHeight="14.4" x14ac:dyDescent="0.3"/>
  <cols>
    <col min="1" max="1" width="22" bestFit="1" customWidth="1"/>
    <col min="2" max="2" width="9.21875" style="5" bestFit="1" customWidth="1"/>
    <col min="3" max="3" width="16.77734375" style="5" bestFit="1" customWidth="1"/>
    <col min="4" max="4" width="13.88671875" bestFit="1" customWidth="1"/>
    <col min="5" max="5" width="14.109375" bestFit="1" customWidth="1"/>
    <col min="6" max="6" width="10.33203125" bestFit="1" customWidth="1"/>
    <col min="7" max="7" width="12.44140625" customWidth="1"/>
    <col min="8" max="8" width="20.5546875" bestFit="1" customWidth="1"/>
    <col min="9" max="9" width="10.33203125" bestFit="1" customWidth="1"/>
    <col min="10" max="10" width="6.33203125" bestFit="1" customWidth="1"/>
    <col min="11" max="12" width="6.77734375" bestFit="1" customWidth="1"/>
    <col min="13" max="13" width="12.44140625" bestFit="1" customWidth="1"/>
    <col min="14" max="14" width="6.5546875" bestFit="1" customWidth="1"/>
    <col min="15" max="15" width="7" bestFit="1" customWidth="1"/>
    <col min="16" max="16" width="6.33203125" bestFit="1" customWidth="1"/>
    <col min="17" max="17" width="12.44140625" bestFit="1" customWidth="1"/>
    <col min="18" max="18" width="5.88671875" bestFit="1" customWidth="1"/>
    <col min="19" max="19" width="6.6640625" bestFit="1" customWidth="1"/>
    <col min="20" max="20" width="6.88671875" bestFit="1" customWidth="1"/>
    <col min="21" max="21" width="8" bestFit="1" customWidth="1"/>
    <col min="22" max="22" width="6.6640625" bestFit="1" customWidth="1"/>
    <col min="23" max="24" width="6.88671875" bestFit="1" customWidth="1"/>
    <col min="25" max="26" width="11.44140625" bestFit="1" customWidth="1"/>
    <col min="27" max="27" width="11" bestFit="1" customWidth="1"/>
    <col min="28" max="28" width="5.88671875" bestFit="1" customWidth="1"/>
    <col min="29" max="30" width="6.33203125" bestFit="1" customWidth="1"/>
    <col min="31" max="31" width="6.109375" bestFit="1" customWidth="1"/>
    <col min="32" max="32" width="6.5546875" bestFit="1" customWidth="1"/>
    <col min="33" max="33" width="5.88671875" bestFit="1" customWidth="1"/>
    <col min="34" max="34" width="5.44140625" bestFit="1" customWidth="1"/>
    <col min="35" max="35" width="6.21875" bestFit="1" customWidth="1"/>
    <col min="36" max="36" width="6.44140625" bestFit="1" customWidth="1"/>
    <col min="37" max="37" width="6.21875" bestFit="1" customWidth="1"/>
    <col min="38" max="39" width="6.44140625" bestFit="1" customWidth="1"/>
    <col min="40" max="40" width="9.109375" bestFit="1" customWidth="1"/>
    <col min="41" max="41" width="22" bestFit="1" customWidth="1"/>
    <col min="42" max="42" width="9" bestFit="1" customWidth="1"/>
    <col min="43" max="43" width="10.44140625" bestFit="1" customWidth="1"/>
  </cols>
  <sheetData>
    <row r="1" spans="1:43" s="2" customFormat="1" x14ac:dyDescent="0.3">
      <c r="A1" s="2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>
        <v>46023</v>
      </c>
      <c r="K1" s="4">
        <v>46054</v>
      </c>
      <c r="L1" s="4">
        <v>46082</v>
      </c>
      <c r="M1" s="4" t="s">
        <v>9</v>
      </c>
      <c r="N1" s="4">
        <v>46113</v>
      </c>
      <c r="O1" s="4">
        <v>46143</v>
      </c>
      <c r="P1" s="4">
        <v>46174</v>
      </c>
      <c r="Q1" s="4" t="s">
        <v>10</v>
      </c>
      <c r="R1" s="4">
        <v>46204</v>
      </c>
      <c r="S1" s="4">
        <v>46235</v>
      </c>
      <c r="T1" s="4">
        <v>46266</v>
      </c>
      <c r="U1" s="4" t="s">
        <v>11</v>
      </c>
      <c r="V1" s="4">
        <v>46296</v>
      </c>
      <c r="W1" s="4">
        <v>46327</v>
      </c>
      <c r="X1" s="4">
        <v>46357</v>
      </c>
      <c r="Y1" s="2" t="s">
        <v>12</v>
      </c>
      <c r="Z1" s="2" t="s">
        <v>13</v>
      </c>
      <c r="AA1" s="2" t="s">
        <v>14</v>
      </c>
      <c r="AB1" s="2" t="s">
        <v>15</v>
      </c>
      <c r="AC1" s="2" t="s">
        <v>16</v>
      </c>
      <c r="AD1" s="2" t="s">
        <v>17</v>
      </c>
      <c r="AE1" s="2" t="s">
        <v>18</v>
      </c>
      <c r="AF1" s="2" t="s">
        <v>19</v>
      </c>
      <c r="AG1" s="2" t="s">
        <v>20</v>
      </c>
      <c r="AH1" s="2" t="s">
        <v>21</v>
      </c>
      <c r="AI1" s="2" t="s">
        <v>22</v>
      </c>
      <c r="AJ1" s="2" t="s">
        <v>23</v>
      </c>
      <c r="AK1" s="2" t="s">
        <v>24</v>
      </c>
      <c r="AL1" s="2" t="s">
        <v>25</v>
      </c>
      <c r="AM1" s="2" t="s">
        <v>26</v>
      </c>
      <c r="AN1" s="2" t="s">
        <v>27</v>
      </c>
      <c r="AO1" s="2" t="s">
        <v>28</v>
      </c>
      <c r="AP1" s="2" t="s">
        <v>29</v>
      </c>
      <c r="AQ1" s="2" t="s">
        <v>30</v>
      </c>
    </row>
    <row r="2" spans="1:43" x14ac:dyDescent="0.3">
      <c r="A2" s="15" t="s">
        <v>31</v>
      </c>
      <c r="B2" s="5" t="s">
        <v>32</v>
      </c>
      <c r="C2" s="5" t="s">
        <v>33</v>
      </c>
      <c r="D2" s="6">
        <f t="shared" ref="D2:D5" si="0">E2*173.33</f>
        <v>5979.8850000000002</v>
      </c>
      <c r="E2" s="6">
        <v>34.5</v>
      </c>
      <c r="F2">
        <f t="shared" ref="F2:F5" si="1">SUM(J2,K2,L2,N2,O2,P2,R2,S2,T2,V2,W2,X2)</f>
        <v>5</v>
      </c>
      <c r="G2" s="6">
        <f>D2*F2</f>
        <v>29899.425000000003</v>
      </c>
      <c r="H2" t="s">
        <v>34</v>
      </c>
      <c r="I2" t="s">
        <v>35</v>
      </c>
      <c r="K2">
        <v>1</v>
      </c>
      <c r="L2">
        <v>1</v>
      </c>
      <c r="M2" s="6">
        <f>IF(AN2="Infosys",SUM(J2*AB2,K2*AC2,L2*AD2)*8.8*E2,SUM(J2*AB2,K2*AC2,L2*AD2)*9*E2)</f>
        <v>12447.6</v>
      </c>
      <c r="N2">
        <v>1</v>
      </c>
      <c r="O2">
        <v>1</v>
      </c>
      <c r="P2">
        <v>1</v>
      </c>
      <c r="Q2" s="6">
        <f>IF(AN2="Infosys",SUM(N2*AE2,O2*AF2,P2*AG2)*8.8*E2,SUM(N2*AE2,O2*AF2,P2*AG2)*9*E2)</f>
        <v>18519.600000000002</v>
      </c>
      <c r="U2" s="6">
        <f>IF(AN2="Infosys",SUM(R2*AH2,S2*AI2,T2*AJ2)*8.8*E2,SUM(R2*AH2,S2*AI2,T2*AJ2)*9*E2)</f>
        <v>0</v>
      </c>
      <c r="Y2" s="6">
        <f>IF(AN2="Infosys",SUM(V2*AK2,W2*AL2,X2*AM2)*8.8*E2,SUM(V2*AK2,W2*AL2,X2*AM2)*9*E2)</f>
        <v>0</v>
      </c>
      <c r="Z2" s="6">
        <f t="shared" ref="Z2:Z5" si="2">M2+Q2+U2+Y2</f>
        <v>30967.200000000004</v>
      </c>
      <c r="AB2">
        <v>21</v>
      </c>
      <c r="AC2">
        <v>19</v>
      </c>
      <c r="AD2">
        <v>22</v>
      </c>
      <c r="AE2">
        <v>21</v>
      </c>
      <c r="AF2">
        <v>20</v>
      </c>
      <c r="AG2">
        <v>20</v>
      </c>
      <c r="AH2">
        <v>23</v>
      </c>
      <c r="AI2">
        <v>20</v>
      </c>
      <c r="AJ2">
        <v>22</v>
      </c>
      <c r="AK2">
        <v>22</v>
      </c>
      <c r="AL2">
        <v>21</v>
      </c>
      <c r="AM2">
        <v>21</v>
      </c>
      <c r="AN2" t="s">
        <v>36</v>
      </c>
      <c r="AO2" s="15" t="s">
        <v>31</v>
      </c>
      <c r="AP2" t="s">
        <v>32</v>
      </c>
      <c r="AQ2" s="5" t="s">
        <v>33</v>
      </c>
    </row>
    <row r="3" spans="1:43" x14ac:dyDescent="0.3">
      <c r="A3" s="15" t="s">
        <v>37</v>
      </c>
      <c r="B3" s="5" t="s">
        <v>32</v>
      </c>
      <c r="C3" s="5" t="s">
        <v>33</v>
      </c>
      <c r="D3" s="6">
        <f t="shared" si="0"/>
        <v>5979.8850000000002</v>
      </c>
      <c r="E3" s="6">
        <v>34.5</v>
      </c>
      <c r="F3">
        <f t="shared" si="1"/>
        <v>5.5</v>
      </c>
      <c r="G3" s="6">
        <f t="shared" ref="G3:G5" si="3">D3*F3</f>
        <v>32889.3675</v>
      </c>
      <c r="H3" t="s">
        <v>34</v>
      </c>
      <c r="I3" t="s">
        <v>35</v>
      </c>
      <c r="J3">
        <v>0.5</v>
      </c>
      <c r="K3">
        <v>1</v>
      </c>
      <c r="L3">
        <v>1</v>
      </c>
      <c r="M3" s="6">
        <f t="shared" ref="M3:M5" si="4">IF(AN3="Infosys",SUM(J3*AB3,K3*AC3,L3*AD3)*8.8*E3,SUM(J3*AB3,K3*AC3,L3*AD3)*9*E3)</f>
        <v>15635.400000000001</v>
      </c>
      <c r="N3">
        <v>1</v>
      </c>
      <c r="O3">
        <v>1</v>
      </c>
      <c r="P3">
        <v>1</v>
      </c>
      <c r="Q3" s="6">
        <f t="shared" ref="Q3:Q5" si="5">IF(AN3="Infosys",SUM(N3*AE3,O3*AF3,P3*AG3)*8.8*E3,SUM(N3*AE3,O3*AF3,P3*AG3)*9*E3)</f>
        <v>18519.600000000002</v>
      </c>
      <c r="U3" s="6">
        <f t="shared" ref="U3:U5" si="6">IF(AN3="Infosys",SUM(R3*AH3,S3*AI3,T3*AJ3)*8.8*E3,SUM(R3*AH3,S3*AI3,T3*AJ3)*9*E3)</f>
        <v>0</v>
      </c>
      <c r="Y3" s="6">
        <f t="shared" ref="Y3:Y5" si="7">IF(AN3="Infosys",SUM(V3*AK3,W3*AL3,X3*AM3)*8.8*E3,SUM(V3*AK3,W3*AL3,X3*AM3)*9*E3)</f>
        <v>0</v>
      </c>
      <c r="Z3" s="6">
        <f t="shared" si="2"/>
        <v>34155</v>
      </c>
      <c r="AB3">
        <v>21</v>
      </c>
      <c r="AC3">
        <v>19</v>
      </c>
      <c r="AD3">
        <v>22</v>
      </c>
      <c r="AE3">
        <v>21</v>
      </c>
      <c r="AF3">
        <v>20</v>
      </c>
      <c r="AG3">
        <v>20</v>
      </c>
      <c r="AH3">
        <v>23</v>
      </c>
      <c r="AI3">
        <v>20</v>
      </c>
      <c r="AJ3">
        <v>22</v>
      </c>
      <c r="AK3">
        <v>22</v>
      </c>
      <c r="AL3">
        <v>21</v>
      </c>
      <c r="AM3">
        <v>21</v>
      </c>
      <c r="AN3" t="s">
        <v>36</v>
      </c>
      <c r="AO3" s="15" t="s">
        <v>37</v>
      </c>
      <c r="AP3" t="s">
        <v>32</v>
      </c>
      <c r="AQ3" s="5" t="s">
        <v>33</v>
      </c>
    </row>
    <row r="4" spans="1:43" x14ac:dyDescent="0.3">
      <c r="A4" s="15" t="s">
        <v>38</v>
      </c>
      <c r="B4" s="5" t="s">
        <v>32</v>
      </c>
      <c r="C4" s="5" t="s">
        <v>33</v>
      </c>
      <c r="D4" s="6">
        <f t="shared" si="0"/>
        <v>5979.8850000000002</v>
      </c>
      <c r="E4" s="6">
        <v>34.5</v>
      </c>
      <c r="F4">
        <f t="shared" si="1"/>
        <v>5.5</v>
      </c>
      <c r="G4" s="6">
        <f t="shared" si="3"/>
        <v>32889.3675</v>
      </c>
      <c r="H4" t="s">
        <v>34</v>
      </c>
      <c r="I4" t="s">
        <v>35</v>
      </c>
      <c r="J4">
        <v>0.5</v>
      </c>
      <c r="K4">
        <v>1</v>
      </c>
      <c r="L4">
        <v>1</v>
      </c>
      <c r="M4" s="6">
        <f t="shared" si="4"/>
        <v>15635.400000000001</v>
      </c>
      <c r="N4">
        <v>1</v>
      </c>
      <c r="O4">
        <v>1</v>
      </c>
      <c r="P4">
        <v>1</v>
      </c>
      <c r="Q4" s="6">
        <f t="shared" si="5"/>
        <v>18519.600000000002</v>
      </c>
      <c r="U4" s="6">
        <f t="shared" si="6"/>
        <v>0</v>
      </c>
      <c r="Y4" s="6">
        <f t="shared" si="7"/>
        <v>0</v>
      </c>
      <c r="Z4" s="6">
        <f t="shared" si="2"/>
        <v>34155</v>
      </c>
      <c r="AB4">
        <v>21</v>
      </c>
      <c r="AC4">
        <v>19</v>
      </c>
      <c r="AD4">
        <v>22</v>
      </c>
      <c r="AE4">
        <v>21</v>
      </c>
      <c r="AF4">
        <v>20</v>
      </c>
      <c r="AG4">
        <v>20</v>
      </c>
      <c r="AH4">
        <v>23</v>
      </c>
      <c r="AI4">
        <v>20</v>
      </c>
      <c r="AJ4">
        <v>22</v>
      </c>
      <c r="AK4">
        <v>22</v>
      </c>
      <c r="AL4">
        <v>21</v>
      </c>
      <c r="AM4">
        <v>21</v>
      </c>
      <c r="AN4" t="s">
        <v>36</v>
      </c>
      <c r="AO4" s="15" t="s">
        <v>38</v>
      </c>
      <c r="AP4" t="s">
        <v>32</v>
      </c>
      <c r="AQ4" s="5" t="s">
        <v>33</v>
      </c>
    </row>
    <row r="5" spans="1:43" x14ac:dyDescent="0.3">
      <c r="A5" s="15" t="s">
        <v>39</v>
      </c>
      <c r="B5" s="5" t="s">
        <v>32</v>
      </c>
      <c r="C5" s="5" t="s">
        <v>33</v>
      </c>
      <c r="D5" s="6">
        <f t="shared" si="0"/>
        <v>5979.8850000000002</v>
      </c>
      <c r="E5" s="6">
        <v>34.5</v>
      </c>
      <c r="F5">
        <f t="shared" si="1"/>
        <v>6</v>
      </c>
      <c r="G5" s="6">
        <f t="shared" si="3"/>
        <v>35879.31</v>
      </c>
      <c r="H5" t="s">
        <v>34</v>
      </c>
      <c r="I5" t="s">
        <v>35</v>
      </c>
      <c r="J5">
        <v>1</v>
      </c>
      <c r="K5">
        <v>1</v>
      </c>
      <c r="L5">
        <v>1</v>
      </c>
      <c r="M5" s="6">
        <f t="shared" si="4"/>
        <v>18823.2</v>
      </c>
      <c r="N5">
        <v>1</v>
      </c>
      <c r="O5">
        <v>1</v>
      </c>
      <c r="P5">
        <v>1</v>
      </c>
      <c r="Q5" s="6">
        <f t="shared" si="5"/>
        <v>18519.600000000002</v>
      </c>
      <c r="U5" s="6">
        <f t="shared" si="6"/>
        <v>0</v>
      </c>
      <c r="Y5" s="6">
        <f t="shared" si="7"/>
        <v>0</v>
      </c>
      <c r="Z5" s="6">
        <f t="shared" si="2"/>
        <v>37342.800000000003</v>
      </c>
      <c r="AB5">
        <v>21</v>
      </c>
      <c r="AC5">
        <v>19</v>
      </c>
      <c r="AD5">
        <v>22</v>
      </c>
      <c r="AE5">
        <v>21</v>
      </c>
      <c r="AF5">
        <v>20</v>
      </c>
      <c r="AG5">
        <v>20</v>
      </c>
      <c r="AH5">
        <v>23</v>
      </c>
      <c r="AI5">
        <v>20</v>
      </c>
      <c r="AJ5">
        <v>22</v>
      </c>
      <c r="AK5">
        <v>22</v>
      </c>
      <c r="AL5">
        <v>21</v>
      </c>
      <c r="AM5">
        <v>21</v>
      </c>
      <c r="AN5" t="s">
        <v>36</v>
      </c>
      <c r="AO5" s="15" t="s">
        <v>39</v>
      </c>
      <c r="AP5" t="s">
        <v>32</v>
      </c>
      <c r="AQ5" s="5" t="s">
        <v>33</v>
      </c>
    </row>
    <row r="6" spans="1:43" x14ac:dyDescent="0.3">
      <c r="A6" s="15" t="s">
        <v>40</v>
      </c>
      <c r="B6" s="5" t="s">
        <v>32</v>
      </c>
      <c r="C6" s="5" t="s">
        <v>33</v>
      </c>
      <c r="D6" s="6">
        <f t="shared" ref="D6:D12" si="8">E6*173.33</f>
        <v>5979.8850000000002</v>
      </c>
      <c r="E6" s="6">
        <v>34.5</v>
      </c>
      <c r="F6">
        <f t="shared" ref="F6:F12" si="9">SUM(J6,K6,L6,N6,O6,P6,R6,S6,T6,V6,W6,X6)</f>
        <v>6</v>
      </c>
      <c r="G6" s="6">
        <f t="shared" ref="G6:G12" si="10">D6*F6</f>
        <v>35879.31</v>
      </c>
      <c r="H6" t="s">
        <v>34</v>
      </c>
      <c r="I6" t="s">
        <v>35</v>
      </c>
      <c r="J6">
        <v>1</v>
      </c>
      <c r="K6">
        <v>1</v>
      </c>
      <c r="L6">
        <v>1</v>
      </c>
      <c r="M6" s="6">
        <f t="shared" ref="M6:M12" si="11">IF(AN6="Infosys",SUM(J6*AB6,K6*AC6,L6*AD6)*8.8*E6,SUM(J6*AB6,K6*AC6,L6*AD6)*9*E6)</f>
        <v>18823.2</v>
      </c>
      <c r="N6">
        <v>1</v>
      </c>
      <c r="O6">
        <v>1</v>
      </c>
      <c r="P6">
        <v>1</v>
      </c>
      <c r="Q6" s="6">
        <f t="shared" ref="Q6:Q12" si="12">IF(AN6="Infosys",SUM(N6*AE6,O6*AF6,P6*AG6)*8.8*E6,SUM(N6*AE6,O6*AF6,P6*AG6)*9*E6)</f>
        <v>18519.600000000002</v>
      </c>
      <c r="U6" s="6">
        <f t="shared" ref="U6:U12" si="13">IF(AN6="Infosys",SUM(R6*AH6,S6*AI6,T6*AJ6)*8.8*E6,SUM(R6*AH6,S6*AI6,T6*AJ6)*9*E6)</f>
        <v>0</v>
      </c>
      <c r="Y6" s="6">
        <f t="shared" ref="Y6:Y12" si="14">IF(AN6="Infosys",SUM(V6*AK6,W6*AL6,X6*AM6)*8.8*E6,SUM(V6*AK6,W6*AL6,X6*AM6)*9*E6)</f>
        <v>0</v>
      </c>
      <c r="Z6" s="6">
        <f t="shared" ref="Z6:Z12" si="15">M6+Q6+U6+Y6</f>
        <v>37342.800000000003</v>
      </c>
      <c r="AB6">
        <v>21</v>
      </c>
      <c r="AC6">
        <v>19</v>
      </c>
      <c r="AD6">
        <v>22</v>
      </c>
      <c r="AE6">
        <v>21</v>
      </c>
      <c r="AF6">
        <v>20</v>
      </c>
      <c r="AG6">
        <v>20</v>
      </c>
      <c r="AH6">
        <v>23</v>
      </c>
      <c r="AI6">
        <v>20</v>
      </c>
      <c r="AJ6">
        <v>22</v>
      </c>
      <c r="AK6">
        <v>22</v>
      </c>
      <c r="AL6">
        <v>21</v>
      </c>
      <c r="AM6">
        <v>21</v>
      </c>
      <c r="AN6" t="s">
        <v>36</v>
      </c>
      <c r="AO6" s="15" t="s">
        <v>40</v>
      </c>
      <c r="AP6" t="s">
        <v>32</v>
      </c>
      <c r="AQ6" s="5" t="s">
        <v>33</v>
      </c>
    </row>
    <row r="7" spans="1:43" x14ac:dyDescent="0.3">
      <c r="A7" s="15" t="s">
        <v>41</v>
      </c>
      <c r="B7" s="5" t="s">
        <v>32</v>
      </c>
      <c r="C7" s="5" t="s">
        <v>42</v>
      </c>
      <c r="D7" s="6">
        <f t="shared" si="8"/>
        <v>5979.8850000000002</v>
      </c>
      <c r="E7" s="6">
        <v>34.5</v>
      </c>
      <c r="F7">
        <f t="shared" si="9"/>
        <v>5</v>
      </c>
      <c r="G7" s="6">
        <f t="shared" si="10"/>
        <v>29899.425000000003</v>
      </c>
      <c r="H7" t="s">
        <v>34</v>
      </c>
      <c r="I7" t="s">
        <v>35</v>
      </c>
      <c r="K7">
        <v>1</v>
      </c>
      <c r="L7">
        <v>1</v>
      </c>
      <c r="M7" s="6">
        <f t="shared" si="11"/>
        <v>12447.6</v>
      </c>
      <c r="N7">
        <v>1</v>
      </c>
      <c r="O7">
        <v>1</v>
      </c>
      <c r="P7">
        <v>1</v>
      </c>
      <c r="Q7" s="6">
        <f t="shared" si="12"/>
        <v>18519.600000000002</v>
      </c>
      <c r="U7" s="6">
        <f t="shared" si="13"/>
        <v>0</v>
      </c>
      <c r="Y7" s="6">
        <f t="shared" si="14"/>
        <v>0</v>
      </c>
      <c r="Z7" s="6">
        <f t="shared" si="15"/>
        <v>30967.200000000004</v>
      </c>
      <c r="AB7">
        <v>21</v>
      </c>
      <c r="AC7">
        <v>19</v>
      </c>
      <c r="AD7">
        <v>22</v>
      </c>
      <c r="AE7">
        <v>21</v>
      </c>
      <c r="AF7">
        <v>20</v>
      </c>
      <c r="AG7">
        <v>20</v>
      </c>
      <c r="AH7">
        <v>23</v>
      </c>
      <c r="AI7">
        <v>20</v>
      </c>
      <c r="AJ7">
        <v>22</v>
      </c>
      <c r="AK7">
        <v>22</v>
      </c>
      <c r="AL7">
        <v>21</v>
      </c>
      <c r="AM7">
        <v>21</v>
      </c>
      <c r="AN7" t="s">
        <v>36</v>
      </c>
      <c r="AO7" s="15" t="s">
        <v>41</v>
      </c>
      <c r="AP7" t="s">
        <v>32</v>
      </c>
      <c r="AQ7" s="5" t="s">
        <v>42</v>
      </c>
    </row>
    <row r="8" spans="1:43" x14ac:dyDescent="0.3">
      <c r="A8" s="15" t="s">
        <v>43</v>
      </c>
      <c r="B8" s="5" t="s">
        <v>32</v>
      </c>
      <c r="C8" s="5" t="s">
        <v>44</v>
      </c>
      <c r="D8" s="6">
        <f t="shared" si="8"/>
        <v>5979.8850000000002</v>
      </c>
      <c r="E8" s="6">
        <v>34.5</v>
      </c>
      <c r="F8">
        <f t="shared" si="9"/>
        <v>5</v>
      </c>
      <c r="G8" s="6">
        <f t="shared" si="10"/>
        <v>29899.425000000003</v>
      </c>
      <c r="H8" t="s">
        <v>34</v>
      </c>
      <c r="I8" t="s">
        <v>35</v>
      </c>
      <c r="K8">
        <v>1</v>
      </c>
      <c r="L8">
        <v>1</v>
      </c>
      <c r="M8" s="6">
        <f t="shared" si="11"/>
        <v>12447.6</v>
      </c>
      <c r="N8">
        <v>1</v>
      </c>
      <c r="O8">
        <v>1</v>
      </c>
      <c r="P8">
        <v>1</v>
      </c>
      <c r="Q8" s="6">
        <f t="shared" si="12"/>
        <v>18519.600000000002</v>
      </c>
      <c r="U8" s="6">
        <f t="shared" si="13"/>
        <v>0</v>
      </c>
      <c r="Y8" s="6">
        <f t="shared" si="14"/>
        <v>0</v>
      </c>
      <c r="Z8" s="6">
        <f t="shared" si="15"/>
        <v>30967.200000000004</v>
      </c>
      <c r="AB8">
        <v>21</v>
      </c>
      <c r="AC8">
        <v>19</v>
      </c>
      <c r="AD8">
        <v>22</v>
      </c>
      <c r="AE8">
        <v>21</v>
      </c>
      <c r="AF8">
        <v>20</v>
      </c>
      <c r="AG8">
        <v>20</v>
      </c>
      <c r="AH8">
        <v>23</v>
      </c>
      <c r="AI8">
        <v>20</v>
      </c>
      <c r="AJ8">
        <v>22</v>
      </c>
      <c r="AK8">
        <v>22</v>
      </c>
      <c r="AL8">
        <v>21</v>
      </c>
      <c r="AM8">
        <v>21</v>
      </c>
      <c r="AN8" t="s">
        <v>36</v>
      </c>
      <c r="AO8" s="15" t="s">
        <v>43</v>
      </c>
      <c r="AP8" t="s">
        <v>32</v>
      </c>
      <c r="AQ8" s="5" t="s">
        <v>44</v>
      </c>
    </row>
    <row r="9" spans="1:43" x14ac:dyDescent="0.3">
      <c r="A9" s="15" t="s">
        <v>45</v>
      </c>
      <c r="B9" s="5" t="s">
        <v>32</v>
      </c>
      <c r="C9" s="5" t="s">
        <v>44</v>
      </c>
      <c r="D9" s="6">
        <f t="shared" si="8"/>
        <v>5979.8850000000002</v>
      </c>
      <c r="E9" s="6">
        <v>34.5</v>
      </c>
      <c r="F9">
        <f t="shared" si="9"/>
        <v>5</v>
      </c>
      <c r="G9" s="6">
        <f t="shared" si="10"/>
        <v>29899.425000000003</v>
      </c>
      <c r="H9" t="s">
        <v>34</v>
      </c>
      <c r="I9" t="s">
        <v>35</v>
      </c>
      <c r="K9">
        <v>1</v>
      </c>
      <c r="L9">
        <v>1</v>
      </c>
      <c r="M9" s="6">
        <f t="shared" si="11"/>
        <v>12447.6</v>
      </c>
      <c r="N9">
        <v>1</v>
      </c>
      <c r="O9">
        <v>1</v>
      </c>
      <c r="P9">
        <v>1</v>
      </c>
      <c r="Q9" s="6">
        <f t="shared" si="12"/>
        <v>18519.600000000002</v>
      </c>
      <c r="U9" s="6">
        <f t="shared" si="13"/>
        <v>0</v>
      </c>
      <c r="Y9" s="6">
        <f t="shared" si="14"/>
        <v>0</v>
      </c>
      <c r="Z9" s="6">
        <f t="shared" si="15"/>
        <v>30967.200000000004</v>
      </c>
      <c r="AB9">
        <v>21</v>
      </c>
      <c r="AC9">
        <v>19</v>
      </c>
      <c r="AD9">
        <v>22</v>
      </c>
      <c r="AE9">
        <v>21</v>
      </c>
      <c r="AF9">
        <v>20</v>
      </c>
      <c r="AG9">
        <v>20</v>
      </c>
      <c r="AH9">
        <v>23</v>
      </c>
      <c r="AI9">
        <v>20</v>
      </c>
      <c r="AJ9">
        <v>22</v>
      </c>
      <c r="AK9">
        <v>22</v>
      </c>
      <c r="AL9">
        <v>21</v>
      </c>
      <c r="AM9">
        <v>21</v>
      </c>
      <c r="AN9" t="s">
        <v>36</v>
      </c>
      <c r="AO9" s="15" t="s">
        <v>45</v>
      </c>
      <c r="AP9" t="s">
        <v>32</v>
      </c>
      <c r="AQ9" s="5" t="s">
        <v>44</v>
      </c>
    </row>
    <row r="10" spans="1:43" x14ac:dyDescent="0.3">
      <c r="A10" s="15" t="s">
        <v>46</v>
      </c>
      <c r="B10" s="5" t="s">
        <v>32</v>
      </c>
      <c r="C10" s="5" t="s">
        <v>33</v>
      </c>
      <c r="D10" s="6">
        <f t="shared" si="8"/>
        <v>5979.8850000000002</v>
      </c>
      <c r="E10" s="6">
        <v>34.5</v>
      </c>
      <c r="F10">
        <f t="shared" si="9"/>
        <v>5</v>
      </c>
      <c r="G10" s="6">
        <f t="shared" si="10"/>
        <v>29899.425000000003</v>
      </c>
      <c r="H10" t="s">
        <v>34</v>
      </c>
      <c r="I10" t="s">
        <v>35</v>
      </c>
      <c r="K10">
        <v>1</v>
      </c>
      <c r="L10">
        <v>1</v>
      </c>
      <c r="M10" s="6">
        <f t="shared" si="11"/>
        <v>12447.6</v>
      </c>
      <c r="N10">
        <v>1</v>
      </c>
      <c r="O10">
        <v>1</v>
      </c>
      <c r="P10">
        <v>1</v>
      </c>
      <c r="Q10" s="6">
        <f t="shared" si="12"/>
        <v>18519.600000000002</v>
      </c>
      <c r="U10" s="6">
        <f t="shared" si="13"/>
        <v>0</v>
      </c>
      <c r="Y10" s="6">
        <f t="shared" si="14"/>
        <v>0</v>
      </c>
      <c r="Z10" s="6">
        <f t="shared" si="15"/>
        <v>30967.200000000004</v>
      </c>
      <c r="AB10">
        <v>21</v>
      </c>
      <c r="AC10">
        <v>19</v>
      </c>
      <c r="AD10">
        <v>22</v>
      </c>
      <c r="AE10">
        <v>21</v>
      </c>
      <c r="AF10">
        <v>20</v>
      </c>
      <c r="AG10">
        <v>20</v>
      </c>
      <c r="AH10">
        <v>23</v>
      </c>
      <c r="AI10">
        <v>20</v>
      </c>
      <c r="AJ10">
        <v>22</v>
      </c>
      <c r="AK10">
        <v>22</v>
      </c>
      <c r="AL10">
        <v>21</v>
      </c>
      <c r="AM10">
        <v>21</v>
      </c>
      <c r="AN10" t="s">
        <v>36</v>
      </c>
      <c r="AO10" s="15" t="s">
        <v>46</v>
      </c>
      <c r="AP10" t="s">
        <v>32</v>
      </c>
      <c r="AQ10" s="5" t="s">
        <v>33</v>
      </c>
    </row>
    <row r="11" spans="1:43" x14ac:dyDescent="0.3">
      <c r="A11" s="15" t="s">
        <v>47</v>
      </c>
      <c r="B11" s="5" t="s">
        <v>32</v>
      </c>
      <c r="C11" s="5" t="s">
        <v>33</v>
      </c>
      <c r="D11" s="6">
        <f t="shared" si="8"/>
        <v>5979.8850000000002</v>
      </c>
      <c r="E11" s="6">
        <v>34.5</v>
      </c>
      <c r="F11">
        <f t="shared" si="9"/>
        <v>5</v>
      </c>
      <c r="G11" s="6">
        <f t="shared" si="10"/>
        <v>29899.425000000003</v>
      </c>
      <c r="H11" t="s">
        <v>34</v>
      </c>
      <c r="I11" t="s">
        <v>35</v>
      </c>
      <c r="K11">
        <v>1</v>
      </c>
      <c r="L11">
        <v>1</v>
      </c>
      <c r="M11" s="6">
        <f t="shared" si="11"/>
        <v>12447.6</v>
      </c>
      <c r="N11">
        <v>1</v>
      </c>
      <c r="O11">
        <v>1</v>
      </c>
      <c r="P11">
        <v>1</v>
      </c>
      <c r="Q11" s="6">
        <f t="shared" si="12"/>
        <v>18519.600000000002</v>
      </c>
      <c r="U11" s="6">
        <f t="shared" si="13"/>
        <v>0</v>
      </c>
      <c r="Y11" s="6">
        <f t="shared" si="14"/>
        <v>0</v>
      </c>
      <c r="Z11" s="6">
        <f t="shared" si="15"/>
        <v>30967.200000000004</v>
      </c>
      <c r="AB11">
        <v>21</v>
      </c>
      <c r="AC11">
        <v>19</v>
      </c>
      <c r="AD11">
        <v>22</v>
      </c>
      <c r="AE11">
        <v>21</v>
      </c>
      <c r="AF11">
        <v>20</v>
      </c>
      <c r="AG11">
        <v>20</v>
      </c>
      <c r="AH11">
        <v>23</v>
      </c>
      <c r="AI11">
        <v>20</v>
      </c>
      <c r="AJ11">
        <v>22</v>
      </c>
      <c r="AK11">
        <v>22</v>
      </c>
      <c r="AL11">
        <v>21</v>
      </c>
      <c r="AM11">
        <v>21</v>
      </c>
      <c r="AN11" t="s">
        <v>36</v>
      </c>
      <c r="AO11" s="15" t="s">
        <v>47</v>
      </c>
      <c r="AP11" t="s">
        <v>32</v>
      </c>
      <c r="AQ11" s="5" t="s">
        <v>33</v>
      </c>
    </row>
    <row r="12" spans="1:43" ht="28.8" x14ac:dyDescent="0.3">
      <c r="A12" s="15" t="s">
        <v>48</v>
      </c>
      <c r="B12" s="5" t="s">
        <v>49</v>
      </c>
      <c r="C12" s="5" t="s">
        <v>49</v>
      </c>
      <c r="D12" s="6">
        <f t="shared" si="8"/>
        <v>5979.8850000000002</v>
      </c>
      <c r="E12" s="6">
        <v>34.5</v>
      </c>
      <c r="F12">
        <f t="shared" si="9"/>
        <v>0</v>
      </c>
      <c r="G12" s="6">
        <f t="shared" si="10"/>
        <v>0</v>
      </c>
      <c r="H12" t="s">
        <v>34</v>
      </c>
      <c r="I12" t="s">
        <v>35</v>
      </c>
      <c r="M12" s="6">
        <f t="shared" si="11"/>
        <v>0</v>
      </c>
      <c r="Q12" s="6">
        <f t="shared" si="12"/>
        <v>0</v>
      </c>
      <c r="U12" s="6">
        <f t="shared" si="13"/>
        <v>0</v>
      </c>
      <c r="Y12" s="6">
        <f t="shared" si="14"/>
        <v>0</v>
      </c>
      <c r="Z12" s="6">
        <f t="shared" si="15"/>
        <v>0</v>
      </c>
      <c r="AB12">
        <v>21</v>
      </c>
      <c r="AC12">
        <v>19</v>
      </c>
      <c r="AD12">
        <v>22</v>
      </c>
      <c r="AE12">
        <v>21</v>
      </c>
      <c r="AF12">
        <v>20</v>
      </c>
      <c r="AG12">
        <v>20</v>
      </c>
      <c r="AH12">
        <v>23</v>
      </c>
      <c r="AI12">
        <v>20</v>
      </c>
      <c r="AJ12">
        <v>22</v>
      </c>
      <c r="AK12">
        <v>22</v>
      </c>
      <c r="AL12">
        <v>21</v>
      </c>
      <c r="AM12">
        <v>21</v>
      </c>
      <c r="AN12" t="s">
        <v>50</v>
      </c>
      <c r="AO12" s="15" t="s">
        <v>47</v>
      </c>
      <c r="AP12" t="s">
        <v>32</v>
      </c>
      <c r="AQ12" s="5" t="s">
        <v>33</v>
      </c>
    </row>
    <row r="13" spans="1:43" ht="28.8" x14ac:dyDescent="0.3">
      <c r="A13" s="15" t="s">
        <v>51</v>
      </c>
      <c r="B13" s="5" t="s">
        <v>49</v>
      </c>
      <c r="C13" s="5" t="s">
        <v>49</v>
      </c>
      <c r="D13" s="6">
        <f t="shared" ref="D13:D15" si="16">E13*173.33</f>
        <v>5979.8850000000002</v>
      </c>
      <c r="E13" s="6">
        <v>34.5</v>
      </c>
      <c r="F13">
        <f t="shared" ref="F13:F15" si="17">SUM(J13,K13,L13,N13,O13,P13,R13,S13,T13,V13,W13,X13)</f>
        <v>0</v>
      </c>
      <c r="G13" s="6">
        <f t="shared" ref="G13:G15" si="18">D13*F13</f>
        <v>0</v>
      </c>
      <c r="H13" t="s">
        <v>34</v>
      </c>
      <c r="I13" t="s">
        <v>35</v>
      </c>
      <c r="M13" s="6">
        <f t="shared" ref="M13:M15" si="19">IF(AN13="Infosys",SUM(J13*AB13,K13*AC13,L13*AD13)*8.8*E13,SUM(J13*AB13,K13*AC13,L13*AD13)*9*E13)</f>
        <v>0</v>
      </c>
      <c r="Q13" s="6">
        <f t="shared" ref="Q13:Q15" si="20">IF(AN13="Infosys",SUM(N13*AE13,O13*AF13,P13*AG13)*8.8*E13,SUM(N13*AE13,O13*AF13,P13*AG13)*9*E13)</f>
        <v>0</v>
      </c>
      <c r="U13" s="6">
        <f t="shared" ref="U13:U15" si="21">IF(AN13="Infosys",SUM(R13*AH13,S13*AI13,T13*AJ13)*8.8*E13,SUM(R13*AH13,S13*AI13,T13*AJ13)*9*E13)</f>
        <v>0</v>
      </c>
      <c r="Y13" s="6">
        <f t="shared" ref="Y13:Y15" si="22">IF(AN13="Infosys",SUM(V13*AK13,W13*AL13,X13*AM13)*8.8*E13,SUM(V13*AK13,W13*AL13,X13*AM13)*9*E13)</f>
        <v>0</v>
      </c>
      <c r="Z13" s="6">
        <f t="shared" ref="Z13:Z15" si="23">M13+Q13+U13+Y13</f>
        <v>0</v>
      </c>
      <c r="AB13">
        <v>21</v>
      </c>
      <c r="AC13">
        <v>19</v>
      </c>
      <c r="AD13">
        <v>22</v>
      </c>
      <c r="AE13">
        <v>21</v>
      </c>
      <c r="AF13">
        <v>20</v>
      </c>
      <c r="AG13">
        <v>20</v>
      </c>
      <c r="AH13">
        <v>23</v>
      </c>
      <c r="AI13">
        <v>20</v>
      </c>
      <c r="AJ13">
        <v>22</v>
      </c>
      <c r="AK13">
        <v>22</v>
      </c>
      <c r="AL13">
        <v>21</v>
      </c>
      <c r="AM13">
        <v>21</v>
      </c>
      <c r="AN13" t="s">
        <v>50</v>
      </c>
      <c r="AO13" s="15" t="s">
        <v>47</v>
      </c>
      <c r="AP13" t="s">
        <v>32</v>
      </c>
      <c r="AQ13" s="5" t="s">
        <v>33</v>
      </c>
    </row>
    <row r="14" spans="1:43" x14ac:dyDescent="0.3">
      <c r="A14" s="15" t="s">
        <v>52</v>
      </c>
      <c r="B14" s="5" t="s">
        <v>32</v>
      </c>
      <c r="C14" s="5" t="s">
        <v>33</v>
      </c>
      <c r="D14" s="6">
        <f t="shared" si="16"/>
        <v>14039.730000000001</v>
      </c>
      <c r="E14" s="6">
        <v>81</v>
      </c>
      <c r="F14">
        <f t="shared" si="17"/>
        <v>11</v>
      </c>
      <c r="G14" s="6">
        <f t="shared" si="18"/>
        <v>154437.03000000003</v>
      </c>
      <c r="H14" t="s">
        <v>53</v>
      </c>
      <c r="I14" t="s">
        <v>54</v>
      </c>
      <c r="J14">
        <v>1</v>
      </c>
      <c r="K14">
        <v>1</v>
      </c>
      <c r="L14">
        <v>1</v>
      </c>
      <c r="M14" s="6">
        <f t="shared" si="19"/>
        <v>44193.599999999999</v>
      </c>
      <c r="N14">
        <v>1</v>
      </c>
      <c r="O14">
        <v>1</v>
      </c>
      <c r="P14">
        <v>1</v>
      </c>
      <c r="Q14" s="6">
        <f t="shared" si="20"/>
        <v>43480.800000000003</v>
      </c>
      <c r="R14" s="36" t="s">
        <v>55</v>
      </c>
      <c r="S14" s="36">
        <v>1</v>
      </c>
      <c r="T14" s="36">
        <v>1</v>
      </c>
      <c r="U14" s="37" t="e">
        <f t="shared" si="21"/>
        <v>#VALUE!</v>
      </c>
      <c r="V14" s="36">
        <v>1</v>
      </c>
      <c r="W14" s="36">
        <v>1</v>
      </c>
      <c r="X14" s="36">
        <v>1</v>
      </c>
      <c r="Y14" s="37">
        <f t="shared" si="22"/>
        <v>45619.200000000004</v>
      </c>
      <c r="Z14" s="6" t="e">
        <f t="shared" si="23"/>
        <v>#VALUE!</v>
      </c>
      <c r="AB14">
        <v>21</v>
      </c>
      <c r="AC14">
        <v>19</v>
      </c>
      <c r="AD14">
        <v>22</v>
      </c>
      <c r="AE14">
        <v>21</v>
      </c>
      <c r="AF14">
        <v>20</v>
      </c>
      <c r="AG14">
        <v>20</v>
      </c>
      <c r="AH14">
        <v>23</v>
      </c>
      <c r="AI14">
        <v>20</v>
      </c>
      <c r="AJ14">
        <v>22</v>
      </c>
      <c r="AK14">
        <v>22</v>
      </c>
      <c r="AL14">
        <v>21</v>
      </c>
      <c r="AM14">
        <v>21</v>
      </c>
      <c r="AN14" t="s">
        <v>36</v>
      </c>
      <c r="AO14" s="15" t="s">
        <v>52</v>
      </c>
      <c r="AP14" t="s">
        <v>32</v>
      </c>
      <c r="AQ14" s="5" t="s">
        <v>33</v>
      </c>
    </row>
    <row r="15" spans="1:43" x14ac:dyDescent="0.3">
      <c r="A15" s="15" t="s">
        <v>56</v>
      </c>
      <c r="B15" s="5" t="s">
        <v>32</v>
      </c>
      <c r="C15" s="5" t="s">
        <v>57</v>
      </c>
      <c r="D15" s="6">
        <f t="shared" si="16"/>
        <v>5979.8850000000002</v>
      </c>
      <c r="E15" s="6">
        <v>34.5</v>
      </c>
      <c r="F15">
        <f t="shared" si="17"/>
        <v>6</v>
      </c>
      <c r="G15" s="6">
        <f t="shared" si="18"/>
        <v>35879.31</v>
      </c>
      <c r="H15" t="s">
        <v>58</v>
      </c>
      <c r="I15" t="s">
        <v>35</v>
      </c>
      <c r="J15">
        <v>1</v>
      </c>
      <c r="K15">
        <v>1</v>
      </c>
      <c r="L15">
        <v>1</v>
      </c>
      <c r="M15" s="6">
        <f t="shared" si="19"/>
        <v>19251</v>
      </c>
      <c r="N15">
        <v>1</v>
      </c>
      <c r="O15">
        <v>1</v>
      </c>
      <c r="P15">
        <v>1</v>
      </c>
      <c r="Q15" s="6">
        <f t="shared" si="20"/>
        <v>18940.5</v>
      </c>
      <c r="U15" s="6">
        <f t="shared" si="21"/>
        <v>0</v>
      </c>
      <c r="Y15" s="6">
        <f t="shared" si="22"/>
        <v>0</v>
      </c>
      <c r="Z15" s="6">
        <f t="shared" si="23"/>
        <v>38191.5</v>
      </c>
      <c r="AB15">
        <v>21</v>
      </c>
      <c r="AC15">
        <v>19</v>
      </c>
      <c r="AD15">
        <v>22</v>
      </c>
      <c r="AE15">
        <v>21</v>
      </c>
      <c r="AF15">
        <v>20</v>
      </c>
      <c r="AG15">
        <v>20</v>
      </c>
      <c r="AH15">
        <v>23</v>
      </c>
      <c r="AI15">
        <v>20</v>
      </c>
      <c r="AJ15">
        <v>22</v>
      </c>
      <c r="AK15">
        <v>22</v>
      </c>
      <c r="AL15">
        <v>21</v>
      </c>
      <c r="AM15">
        <v>21</v>
      </c>
      <c r="AN15" t="s">
        <v>59</v>
      </c>
      <c r="AO15" s="15" t="s">
        <v>56</v>
      </c>
      <c r="AP15" t="s">
        <v>32</v>
      </c>
      <c r="AQ15" s="5" t="s">
        <v>57</v>
      </c>
    </row>
    <row r="16" spans="1:43" x14ac:dyDescent="0.3">
      <c r="A16" s="15" t="s">
        <v>56</v>
      </c>
      <c r="B16" s="5" t="s">
        <v>32</v>
      </c>
      <c r="C16" s="5" t="s">
        <v>57</v>
      </c>
      <c r="D16" s="6">
        <f t="shared" ref="D16" si="24">E16*173.33</f>
        <v>5979.8850000000002</v>
      </c>
      <c r="E16" s="6">
        <v>34.5</v>
      </c>
      <c r="F16">
        <f t="shared" ref="F16" si="25">SUM(J16,K16,L16,N16,O16,P16,R16,S16,T16,V16,W16,X16)</f>
        <v>6</v>
      </c>
      <c r="G16" s="6">
        <f t="shared" ref="G16" si="26">D16*F16</f>
        <v>35879.31</v>
      </c>
      <c r="H16" t="s">
        <v>58</v>
      </c>
      <c r="I16" t="s">
        <v>35</v>
      </c>
      <c r="J16">
        <v>1</v>
      </c>
      <c r="K16">
        <v>1</v>
      </c>
      <c r="L16">
        <v>1</v>
      </c>
      <c r="M16" s="6">
        <f t="shared" ref="M16" si="27">IF(AN16="Infosys",SUM(J16*AB16,K16*AC16,L16*AD16)*8.8*E16,SUM(J16*AB16,K16*AC16,L16*AD16)*9*E16)</f>
        <v>19251</v>
      </c>
      <c r="N16">
        <v>1</v>
      </c>
      <c r="O16">
        <v>1</v>
      </c>
      <c r="P16">
        <v>1</v>
      </c>
      <c r="Q16" s="6">
        <f t="shared" ref="Q16" si="28">IF(AN16="Infosys",SUM(N16*AE16,O16*AF16,P16*AG16)*8.8*E16,SUM(N16*AE16,O16*AF16,P16*AG16)*9*E16)</f>
        <v>18940.5</v>
      </c>
      <c r="U16" s="6">
        <f t="shared" ref="U16" si="29">IF(AN16="Infosys",SUM(R16*AH16,S16*AI16,T16*AJ16)*8.8*E16,SUM(R16*AH16,S16*AI16,T16*AJ16)*9*E16)</f>
        <v>0</v>
      </c>
      <c r="Y16" s="6">
        <f t="shared" ref="Y16" si="30">IF(AN16="Infosys",SUM(V16*AK16,W16*AL16,X16*AM16)*8.8*E16,SUM(V16*AK16,W16*AL16,X16*AM16)*9*E16)</f>
        <v>0</v>
      </c>
      <c r="Z16" s="6">
        <f t="shared" ref="Z16" si="31">M16+Q16+U16+Y16</f>
        <v>38191.5</v>
      </c>
      <c r="AB16">
        <v>21</v>
      </c>
      <c r="AC16">
        <v>19</v>
      </c>
      <c r="AD16">
        <v>22</v>
      </c>
      <c r="AE16">
        <v>21</v>
      </c>
      <c r="AF16">
        <v>20</v>
      </c>
      <c r="AG16">
        <v>20</v>
      </c>
      <c r="AH16">
        <v>23</v>
      </c>
      <c r="AI16">
        <v>20</v>
      </c>
      <c r="AJ16">
        <v>22</v>
      </c>
      <c r="AK16">
        <v>22</v>
      </c>
      <c r="AL16">
        <v>21</v>
      </c>
      <c r="AM16">
        <v>21</v>
      </c>
      <c r="AN16" t="s">
        <v>59</v>
      </c>
      <c r="AO16" s="15" t="s">
        <v>56</v>
      </c>
      <c r="AP16" t="s">
        <v>32</v>
      </c>
      <c r="AQ16" s="5" t="s">
        <v>57</v>
      </c>
    </row>
    <row r="17" spans="1:43" x14ac:dyDescent="0.3">
      <c r="A17" s="15" t="s">
        <v>60</v>
      </c>
      <c r="B17" s="5" t="s">
        <v>32</v>
      </c>
      <c r="C17" s="5" t="s">
        <v>57</v>
      </c>
      <c r="D17" s="6">
        <f t="shared" ref="D17" si="32">E17*173.33</f>
        <v>5979.8850000000002</v>
      </c>
      <c r="E17" s="6">
        <v>34.5</v>
      </c>
      <c r="F17">
        <f t="shared" ref="F17" si="33">SUM(J17,K17,L17,N17,O17,P17,R17,S17,T17,V17,W17,X17)</f>
        <v>4</v>
      </c>
      <c r="G17" s="6">
        <f t="shared" ref="G17" si="34">D17*F17</f>
        <v>23919.54</v>
      </c>
      <c r="H17" t="s">
        <v>58</v>
      </c>
      <c r="I17" t="s">
        <v>35</v>
      </c>
      <c r="L17">
        <v>1</v>
      </c>
      <c r="M17" s="6">
        <f t="shared" ref="M17" si="35">IF(AN17="Infosys",SUM(J17*AB17,K17*AC17,L17*AD17)*8.8*E17,SUM(J17*AB17,K17*AC17,L17*AD17)*9*E17)</f>
        <v>6831</v>
      </c>
      <c r="N17">
        <v>1</v>
      </c>
      <c r="O17">
        <v>1</v>
      </c>
      <c r="P17">
        <v>1</v>
      </c>
      <c r="Q17" s="6">
        <f t="shared" ref="Q17" si="36">IF(AN17="Infosys",SUM(N17*AE17,O17*AF17,P17*AG17)*8.8*E17,SUM(N17*AE17,O17*AF17,P17*AG17)*9*E17)</f>
        <v>18940.5</v>
      </c>
      <c r="U17" s="6">
        <f t="shared" ref="U17" si="37">IF(AN17="Infosys",SUM(R17*AH17,S17*AI17,T17*AJ17)*8.8*E17,SUM(R17*AH17,S17*AI17,T17*AJ17)*9*E17)</f>
        <v>0</v>
      </c>
      <c r="Y17" s="6">
        <f t="shared" ref="Y17" si="38">IF(AN17="Infosys",SUM(V17*AK17,W17*AL17,X17*AM17)*8.8*E17,SUM(V17*AK17,W17*AL17,X17*AM17)*9*E17)</f>
        <v>0</v>
      </c>
      <c r="Z17" s="6">
        <f t="shared" ref="Z17" si="39">M17+Q17+U17+Y17</f>
        <v>25771.5</v>
      </c>
      <c r="AB17">
        <v>21</v>
      </c>
      <c r="AC17">
        <v>19</v>
      </c>
      <c r="AD17">
        <v>22</v>
      </c>
      <c r="AE17">
        <v>21</v>
      </c>
      <c r="AF17">
        <v>20</v>
      </c>
      <c r="AG17">
        <v>20</v>
      </c>
      <c r="AH17">
        <v>23</v>
      </c>
      <c r="AI17">
        <v>20</v>
      </c>
      <c r="AJ17">
        <v>22</v>
      </c>
      <c r="AK17">
        <v>22</v>
      </c>
      <c r="AL17">
        <v>21</v>
      </c>
      <c r="AM17">
        <v>21</v>
      </c>
      <c r="AN17" t="s">
        <v>59</v>
      </c>
      <c r="AO17" s="15" t="s">
        <v>56</v>
      </c>
      <c r="AP17" t="s">
        <v>32</v>
      </c>
      <c r="AQ17" s="5" t="s">
        <v>57</v>
      </c>
    </row>
    <row r="18" spans="1:43" x14ac:dyDescent="0.3">
      <c r="A18" s="15" t="s">
        <v>61</v>
      </c>
      <c r="B18" s="5" t="s">
        <v>32</v>
      </c>
      <c r="C18" s="5" t="s">
        <v>61</v>
      </c>
      <c r="D18" s="6">
        <f t="shared" ref="D18" si="40">E18*173.33</f>
        <v>5979.8850000000002</v>
      </c>
      <c r="E18" s="6">
        <v>34.5</v>
      </c>
      <c r="F18">
        <f t="shared" ref="F18" si="41">SUM(J18,K18,L18,N18,O18,P18,R18,S18,T18,V18,W18,X18)</f>
        <v>6</v>
      </c>
      <c r="G18" s="6">
        <f t="shared" ref="G18" si="42">D18*F18</f>
        <v>35879.31</v>
      </c>
      <c r="H18" t="s">
        <v>62</v>
      </c>
      <c r="I18" t="s">
        <v>35</v>
      </c>
      <c r="J18">
        <v>1</v>
      </c>
      <c r="K18">
        <v>1</v>
      </c>
      <c r="L18">
        <v>1</v>
      </c>
      <c r="M18" s="6">
        <f t="shared" ref="M18" si="43">IF(AN18="Infosys",SUM(J18*AB18,K18*AC18,L18*AD18)*8.8*E18,SUM(J18*AB18,K18*AC18,L18*AD18)*9*E18)</f>
        <v>19251</v>
      </c>
      <c r="N18">
        <v>1</v>
      </c>
      <c r="O18">
        <v>1</v>
      </c>
      <c r="P18">
        <v>1</v>
      </c>
      <c r="Q18" s="6">
        <f t="shared" ref="Q18" si="44">IF(AN18="Infosys",SUM(N18*AE18,O18*AF18,P18*AG18)*8.8*E18,SUM(N18*AE18,O18*AF18,P18*AG18)*9*E18)</f>
        <v>18940.5</v>
      </c>
      <c r="U18" s="6">
        <f t="shared" ref="U18" si="45">IF(AN18="Infosys",SUM(R18*AH18,S18*AI18,T18*AJ18)*8.8*E18,SUM(R18*AH18,S18*AI18,T18*AJ18)*9*E18)</f>
        <v>0</v>
      </c>
      <c r="Y18" s="6">
        <f t="shared" ref="Y18" si="46">IF(AN18="Infosys",SUM(V18*AK18,W18*AL18,X18*AM18)*8.8*E18,SUM(V18*AK18,W18*AL18,X18*AM18)*9*E18)</f>
        <v>0</v>
      </c>
      <c r="Z18" s="6">
        <f t="shared" ref="Z18" si="47">M18+Q18+U18+Y18</f>
        <v>38191.5</v>
      </c>
      <c r="AB18">
        <v>21</v>
      </c>
      <c r="AC18">
        <v>19</v>
      </c>
      <c r="AD18">
        <v>22</v>
      </c>
      <c r="AE18">
        <v>21</v>
      </c>
      <c r="AF18">
        <v>20</v>
      </c>
      <c r="AG18">
        <v>20</v>
      </c>
      <c r="AH18">
        <v>23</v>
      </c>
      <c r="AI18">
        <v>20</v>
      </c>
      <c r="AJ18">
        <v>22</v>
      </c>
      <c r="AK18">
        <v>22</v>
      </c>
      <c r="AL18">
        <v>21</v>
      </c>
      <c r="AM18">
        <v>21</v>
      </c>
      <c r="AN18" t="s">
        <v>50</v>
      </c>
      <c r="AO18" s="15" t="s">
        <v>61</v>
      </c>
      <c r="AP18" t="s">
        <v>32</v>
      </c>
      <c r="AQ18" s="5" t="s">
        <v>61</v>
      </c>
    </row>
    <row r="19" spans="1:43" s="8" customFormat="1" x14ac:dyDescent="0.3">
      <c r="B19" s="7"/>
      <c r="C19" s="7"/>
      <c r="E19" s="9"/>
      <c r="G19" s="9">
        <f>SUM(G2:G5)</f>
        <v>131557.47</v>
      </c>
      <c r="M19" s="10">
        <f>SUM(M2:M18)</f>
        <v>252380.40000000002</v>
      </c>
      <c r="Q19" s="10">
        <f>SUM(Q2:Q18)</f>
        <v>304438.80000000005</v>
      </c>
      <c r="U19" s="10" t="e">
        <f>SUM(U2:U18)</f>
        <v>#VALUE!</v>
      </c>
      <c r="Y19" s="10">
        <f>SUM(Y2:Y18)</f>
        <v>45619.200000000004</v>
      </c>
      <c r="Z19" s="10" t="e">
        <f>M19+Q19+U19+Y19</f>
        <v>#VALUE!</v>
      </c>
      <c r="AA19" s="11"/>
    </row>
    <row r="22" spans="1:43" s="13" customFormat="1" x14ac:dyDescent="0.3">
      <c r="B22" s="14"/>
      <c r="C22" s="14"/>
      <c r="M22" s="12">
        <f>SUM(M19)</f>
        <v>252380.40000000002</v>
      </c>
      <c r="Q22" s="12">
        <f>SUM(Q19)</f>
        <v>304438.80000000005</v>
      </c>
      <c r="U22" s="12" t="e">
        <f>SUM(U19)</f>
        <v>#VALUE!</v>
      </c>
      <c r="Y22" s="12">
        <f>SUM(Y19)</f>
        <v>45619.200000000004</v>
      </c>
      <c r="Z22" s="12" t="e">
        <f>SUM(Z19)</f>
        <v>#VALUE!</v>
      </c>
    </row>
  </sheetData>
  <autoFilter ref="A1:AQ19" xr:uid="{536898A4-FC69-48EC-9428-04569167830C}"/>
  <phoneticPr fontId="3" type="noConversion"/>
  <pageMargins left="0.7" right="0.7" top="0.75" bottom="0.75" header="0.3" footer="0.3"/>
  <pageSetup orientation="portrait" r:id="rId1"/>
  <ignoredErrors>
    <ignoredError sqref="U14" evalError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D4FD-B8D0-4AE8-A613-E0ECC5831526}">
  <dimension ref="B1:F18"/>
  <sheetViews>
    <sheetView workbookViewId="0">
      <selection activeCell="B1" sqref="B1"/>
    </sheetView>
  </sheetViews>
  <sheetFormatPr defaultColWidth="24.88671875" defaultRowHeight="14.4" x14ac:dyDescent="0.3"/>
  <cols>
    <col min="3" max="3" width="45.44140625" bestFit="1" customWidth="1"/>
  </cols>
  <sheetData>
    <row r="1" spans="2:6" x14ac:dyDescent="0.3">
      <c r="B1" s="16" t="s">
        <v>63</v>
      </c>
      <c r="C1" s="16" t="s">
        <v>64</v>
      </c>
      <c r="D1" s="16" t="s">
        <v>65</v>
      </c>
      <c r="E1" s="16" t="s">
        <v>66</v>
      </c>
      <c r="F1" s="16" t="s">
        <v>67</v>
      </c>
    </row>
    <row r="2" spans="2:6" x14ac:dyDescent="0.3">
      <c r="B2" s="17" t="s">
        <v>33</v>
      </c>
      <c r="C2" s="17" t="s">
        <v>68</v>
      </c>
      <c r="D2" s="18"/>
      <c r="E2" s="18"/>
      <c r="F2" s="17"/>
    </row>
    <row r="3" spans="2:6" x14ac:dyDescent="0.3">
      <c r="B3" s="17" t="s">
        <v>33</v>
      </c>
      <c r="C3" s="17" t="s">
        <v>69</v>
      </c>
      <c r="D3" s="18"/>
      <c r="E3" s="19"/>
      <c r="F3" s="17"/>
    </row>
    <row r="4" spans="2:6" x14ac:dyDescent="0.3">
      <c r="B4" s="17" t="s">
        <v>33</v>
      </c>
      <c r="C4" s="17" t="s">
        <v>70</v>
      </c>
      <c r="D4" s="18"/>
      <c r="E4" s="19"/>
      <c r="F4" s="17"/>
    </row>
    <row r="5" spans="2:6" x14ac:dyDescent="0.3">
      <c r="B5" s="17" t="s">
        <v>33</v>
      </c>
      <c r="C5" s="17" t="s">
        <v>71</v>
      </c>
      <c r="D5" s="18"/>
      <c r="E5" s="18"/>
      <c r="F5" s="17"/>
    </row>
    <row r="6" spans="2:6" x14ac:dyDescent="0.3">
      <c r="B6" s="17" t="s">
        <v>33</v>
      </c>
      <c r="C6" s="17" t="s">
        <v>72</v>
      </c>
      <c r="D6" s="18"/>
      <c r="E6" s="18"/>
      <c r="F6" s="17"/>
    </row>
    <row r="7" spans="2:6" x14ac:dyDescent="0.3">
      <c r="B7" s="17" t="s">
        <v>33</v>
      </c>
      <c r="C7" s="17" t="s">
        <v>73</v>
      </c>
      <c r="D7" s="17"/>
      <c r="E7" s="17"/>
      <c r="F7" s="17"/>
    </row>
    <row r="8" spans="2:6" x14ac:dyDescent="0.3">
      <c r="B8" s="17" t="s">
        <v>33</v>
      </c>
      <c r="C8" s="17" t="s">
        <v>74</v>
      </c>
      <c r="D8" s="17"/>
      <c r="E8" s="17"/>
      <c r="F8" s="17"/>
    </row>
    <row r="9" spans="2:6" x14ac:dyDescent="0.3">
      <c r="B9" s="17" t="s">
        <v>33</v>
      </c>
      <c r="C9" s="17" t="s">
        <v>75</v>
      </c>
      <c r="D9" s="17"/>
      <c r="E9" s="17"/>
      <c r="F9" s="17"/>
    </row>
    <row r="10" spans="2:6" x14ac:dyDescent="0.3">
      <c r="B10" s="17" t="s">
        <v>76</v>
      </c>
      <c r="C10" s="17" t="s">
        <v>77</v>
      </c>
      <c r="D10" s="17"/>
      <c r="E10" s="17"/>
      <c r="F10" s="17"/>
    </row>
    <row r="11" spans="2:6" x14ac:dyDescent="0.3">
      <c r="B11" s="17" t="s">
        <v>76</v>
      </c>
      <c r="C11" s="17"/>
      <c r="D11" s="17"/>
      <c r="E11" s="17"/>
      <c r="F11" s="17"/>
    </row>
    <row r="12" spans="2:6" x14ac:dyDescent="0.3">
      <c r="B12" s="17" t="s">
        <v>76</v>
      </c>
      <c r="C12" s="17"/>
      <c r="D12" s="17"/>
      <c r="E12" s="17"/>
      <c r="F12" s="17"/>
    </row>
    <row r="13" spans="2:6" x14ac:dyDescent="0.3">
      <c r="B13" s="17" t="s">
        <v>44</v>
      </c>
      <c r="C13" s="17" t="s">
        <v>78</v>
      </c>
      <c r="D13" s="17"/>
      <c r="E13" s="18"/>
      <c r="F13" s="17"/>
    </row>
    <row r="14" spans="2:6" x14ac:dyDescent="0.3">
      <c r="B14" s="17" t="s">
        <v>44</v>
      </c>
      <c r="C14" s="17" t="s">
        <v>79</v>
      </c>
      <c r="D14" s="17"/>
      <c r="E14" s="17"/>
      <c r="F14" s="17"/>
    </row>
    <row r="15" spans="2:6" x14ac:dyDescent="0.3">
      <c r="B15" s="17" t="s">
        <v>49</v>
      </c>
      <c r="C15" s="17"/>
      <c r="D15" s="17"/>
      <c r="E15" s="17"/>
      <c r="F15" s="17"/>
    </row>
    <row r="16" spans="2:6" x14ac:dyDescent="0.3">
      <c r="B16" s="17" t="s">
        <v>49</v>
      </c>
      <c r="C16" s="17"/>
      <c r="D16" s="17"/>
      <c r="E16" s="17"/>
      <c r="F16" s="17"/>
    </row>
    <row r="17" spans="2:6" x14ac:dyDescent="0.3">
      <c r="B17" s="17" t="s">
        <v>49</v>
      </c>
      <c r="C17" s="17"/>
      <c r="D17" s="17"/>
      <c r="E17" s="17"/>
      <c r="F17" s="17"/>
    </row>
    <row r="18" spans="2:6" x14ac:dyDescent="0.3">
      <c r="B18" s="17" t="s">
        <v>49</v>
      </c>
      <c r="C18" s="17"/>
      <c r="D18" s="17"/>
      <c r="E18" s="17"/>
      <c r="F18" s="17"/>
    </row>
  </sheetData>
  <autoFilter ref="B1:F18" xr:uid="{2F35D4FD-B8D0-4AE8-A613-E0ECC5831526}">
    <sortState xmlns:xlrd2="http://schemas.microsoft.com/office/spreadsheetml/2017/richdata2" ref="B2:F18">
      <sortCondition ref="B1:B1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319E-1D1A-4E61-A058-2EC4BCAA4C37}">
  <dimension ref="A1:O13"/>
  <sheetViews>
    <sheetView workbookViewId="0">
      <selection activeCell="G3" sqref="G3:G8"/>
    </sheetView>
  </sheetViews>
  <sheetFormatPr defaultRowHeight="14.4" x14ac:dyDescent="0.3"/>
  <cols>
    <col min="1" max="1" width="36.6640625" bestFit="1" customWidth="1"/>
    <col min="2" max="3" width="9.88671875" bestFit="1" customWidth="1"/>
    <col min="4" max="4" width="9" bestFit="1" customWidth="1"/>
    <col min="6" max="6" width="10.6640625" bestFit="1" customWidth="1"/>
    <col min="7" max="7" width="14.6640625" bestFit="1" customWidth="1"/>
    <col min="8" max="8" width="10" bestFit="1" customWidth="1"/>
    <col min="9" max="9" width="25.33203125" bestFit="1" customWidth="1"/>
    <col min="10" max="10" width="7.5546875" bestFit="1" customWidth="1"/>
    <col min="11" max="11" width="9.44140625" bestFit="1" customWidth="1"/>
    <col min="13" max="13" width="9.44140625" bestFit="1" customWidth="1"/>
    <col min="14" max="14" width="16" bestFit="1" customWidth="1"/>
    <col min="15" max="15" width="25.5546875" bestFit="1" customWidth="1"/>
  </cols>
  <sheetData>
    <row r="1" spans="1:15" x14ac:dyDescent="0.3">
      <c r="A1" s="63" t="s">
        <v>80</v>
      </c>
      <c r="B1" s="63" t="s">
        <v>81</v>
      </c>
      <c r="C1" s="63" t="s">
        <v>82</v>
      </c>
      <c r="D1" s="63" t="s">
        <v>65</v>
      </c>
      <c r="E1" s="63" t="s">
        <v>66</v>
      </c>
      <c r="F1" s="63" t="s">
        <v>83</v>
      </c>
      <c r="G1" s="63" t="s">
        <v>84</v>
      </c>
      <c r="H1" s="63" t="s">
        <v>85</v>
      </c>
      <c r="I1" s="63" t="s">
        <v>86</v>
      </c>
      <c r="J1" s="63" t="s">
        <v>8</v>
      </c>
      <c r="K1" s="20" t="s">
        <v>87</v>
      </c>
      <c r="L1" s="20" t="s">
        <v>88</v>
      </c>
      <c r="M1" s="63" t="s">
        <v>89</v>
      </c>
      <c r="N1" s="63" t="s">
        <v>90</v>
      </c>
      <c r="O1" s="63" t="s">
        <v>91</v>
      </c>
    </row>
    <row r="2" spans="1:15" ht="15" thickBot="1" x14ac:dyDescent="0.35">
      <c r="A2" s="64"/>
      <c r="B2" s="64"/>
      <c r="C2" s="64"/>
      <c r="D2" s="64"/>
      <c r="E2" s="64"/>
      <c r="F2" s="64"/>
      <c r="G2" s="64"/>
      <c r="H2" s="64"/>
      <c r="I2" s="64"/>
      <c r="J2" s="64"/>
      <c r="K2" s="21" t="s">
        <v>92</v>
      </c>
      <c r="L2" s="21" t="s">
        <v>93</v>
      </c>
      <c r="M2" s="64"/>
      <c r="N2" s="64"/>
      <c r="O2" s="64"/>
    </row>
    <row r="3" spans="1:15" ht="15" thickBot="1" x14ac:dyDescent="0.35">
      <c r="A3" s="38" t="s">
        <v>94</v>
      </c>
      <c r="B3" s="66">
        <v>283130</v>
      </c>
      <c r="C3" s="43"/>
      <c r="D3" s="45">
        <v>45748</v>
      </c>
      <c r="E3" s="45">
        <v>46022</v>
      </c>
      <c r="F3" s="43"/>
      <c r="G3" s="43" t="s">
        <v>95</v>
      </c>
      <c r="H3" s="38">
        <v>111719748</v>
      </c>
      <c r="I3" s="22" t="s">
        <v>52</v>
      </c>
      <c r="J3" s="23" t="s">
        <v>96</v>
      </c>
      <c r="K3" s="24">
        <v>45809</v>
      </c>
      <c r="L3" s="24">
        <v>46022</v>
      </c>
      <c r="M3" s="25">
        <v>81</v>
      </c>
      <c r="N3" s="26">
        <v>13608</v>
      </c>
      <c r="O3" s="23"/>
    </row>
    <row r="4" spans="1:15" ht="15" thickBot="1" x14ac:dyDescent="0.35">
      <c r="A4" s="65"/>
      <c r="B4" s="67"/>
      <c r="C4" s="69"/>
      <c r="D4" s="70"/>
      <c r="E4" s="70"/>
      <c r="F4" s="69"/>
      <c r="G4" s="69"/>
      <c r="H4" s="65"/>
      <c r="I4" s="22" t="s">
        <v>97</v>
      </c>
      <c r="J4" s="23" t="s">
        <v>98</v>
      </c>
      <c r="K4" s="24">
        <v>45870</v>
      </c>
      <c r="L4" s="24">
        <v>45960</v>
      </c>
      <c r="M4" s="25">
        <v>33</v>
      </c>
      <c r="N4" s="23" t="s">
        <v>99</v>
      </c>
      <c r="O4" s="23"/>
    </row>
    <row r="5" spans="1:15" ht="15" thickBot="1" x14ac:dyDescent="0.35">
      <c r="A5" s="65"/>
      <c r="B5" s="67"/>
      <c r="C5" s="69"/>
      <c r="D5" s="70"/>
      <c r="E5" s="70"/>
      <c r="F5" s="69"/>
      <c r="G5" s="69"/>
      <c r="H5" s="65"/>
      <c r="I5" s="22" t="s">
        <v>100</v>
      </c>
      <c r="J5" s="23" t="s">
        <v>98</v>
      </c>
      <c r="K5" s="24">
        <v>45748</v>
      </c>
      <c r="L5" s="24">
        <v>45960</v>
      </c>
      <c r="M5" s="25">
        <v>33</v>
      </c>
      <c r="N5" s="23" t="s">
        <v>99</v>
      </c>
      <c r="O5" s="23"/>
    </row>
    <row r="6" spans="1:15" ht="15" thickBot="1" x14ac:dyDescent="0.35">
      <c r="A6" s="65"/>
      <c r="B6" s="67"/>
      <c r="C6" s="69"/>
      <c r="D6" s="70"/>
      <c r="E6" s="70"/>
      <c r="F6" s="69"/>
      <c r="G6" s="69"/>
      <c r="H6" s="65"/>
      <c r="I6" s="22" t="s">
        <v>46</v>
      </c>
      <c r="J6" s="23" t="s">
        <v>98</v>
      </c>
      <c r="K6" s="24">
        <v>45748</v>
      </c>
      <c r="L6" s="24">
        <v>45960</v>
      </c>
      <c r="M6" s="25">
        <v>33</v>
      </c>
      <c r="N6" s="23" t="s">
        <v>99</v>
      </c>
      <c r="O6" s="23"/>
    </row>
    <row r="7" spans="1:15" ht="15" thickBot="1" x14ac:dyDescent="0.35">
      <c r="A7" s="65"/>
      <c r="B7" s="67"/>
      <c r="C7" s="69"/>
      <c r="D7" s="70"/>
      <c r="E7" s="70"/>
      <c r="F7" s="69"/>
      <c r="G7" s="69"/>
      <c r="H7" s="65"/>
      <c r="I7" s="22" t="s">
        <v>101</v>
      </c>
      <c r="J7" s="23" t="s">
        <v>98</v>
      </c>
      <c r="K7" s="24">
        <v>45748</v>
      </c>
      <c r="L7" s="24">
        <v>45960</v>
      </c>
      <c r="M7" s="25">
        <v>33</v>
      </c>
      <c r="N7" s="23" t="s">
        <v>99</v>
      </c>
      <c r="O7" s="23"/>
    </row>
    <row r="8" spans="1:15" ht="15" thickBot="1" x14ac:dyDescent="0.35">
      <c r="A8" s="40"/>
      <c r="B8" s="68"/>
      <c r="C8" s="44"/>
      <c r="D8" s="46"/>
      <c r="E8" s="46"/>
      <c r="F8" s="44"/>
      <c r="G8" s="44"/>
      <c r="H8" s="40"/>
      <c r="I8" s="22" t="s">
        <v>43</v>
      </c>
      <c r="J8" s="23" t="s">
        <v>98</v>
      </c>
      <c r="K8" s="24">
        <v>45748</v>
      </c>
      <c r="L8" s="24">
        <v>45960</v>
      </c>
      <c r="M8" s="25">
        <v>33</v>
      </c>
      <c r="N8" s="23" t="s">
        <v>99</v>
      </c>
      <c r="O8" s="23"/>
    </row>
    <row r="9" spans="1:15" x14ac:dyDescent="0.3">
      <c r="A9" s="56" t="s">
        <v>102</v>
      </c>
      <c r="B9" s="57">
        <v>18295.2</v>
      </c>
      <c r="C9" s="57">
        <v>18295.2</v>
      </c>
      <c r="D9" s="59">
        <v>45748</v>
      </c>
      <c r="E9" s="61">
        <v>45838</v>
      </c>
      <c r="F9" s="61">
        <v>45930</v>
      </c>
      <c r="G9" s="49" t="s">
        <v>103</v>
      </c>
      <c r="H9" s="28">
        <v>111730371</v>
      </c>
      <c r="I9" s="51" t="s">
        <v>104</v>
      </c>
      <c r="J9" s="38" t="s">
        <v>98</v>
      </c>
      <c r="K9" s="53">
        <v>45748</v>
      </c>
      <c r="L9" s="53">
        <v>45930</v>
      </c>
      <c r="M9" s="43">
        <v>33</v>
      </c>
      <c r="N9" s="38" t="s">
        <v>99</v>
      </c>
      <c r="O9" s="38"/>
    </row>
    <row r="10" spans="1:15" ht="28.2" thickBot="1" x14ac:dyDescent="0.35">
      <c r="A10" s="52"/>
      <c r="B10" s="58"/>
      <c r="C10" s="58"/>
      <c r="D10" s="60"/>
      <c r="E10" s="62"/>
      <c r="F10" s="62"/>
      <c r="G10" s="50"/>
      <c r="H10" s="29" t="s">
        <v>105</v>
      </c>
      <c r="I10" s="52"/>
      <c r="J10" s="39"/>
      <c r="K10" s="54"/>
      <c r="L10" s="54"/>
      <c r="M10" s="55"/>
      <c r="N10" s="39"/>
      <c r="O10" s="39"/>
    </row>
    <row r="11" spans="1:15" ht="15" thickBot="1" x14ac:dyDescent="0.35">
      <c r="A11" s="27" t="s">
        <v>106</v>
      </c>
      <c r="B11" s="30">
        <v>24393.599999999999</v>
      </c>
      <c r="C11" s="31"/>
      <c r="D11" s="32">
        <v>45810</v>
      </c>
      <c r="E11" s="32">
        <v>45930</v>
      </c>
      <c r="F11" s="33"/>
      <c r="G11" s="31" t="s">
        <v>95</v>
      </c>
      <c r="H11" s="33">
        <v>111736676</v>
      </c>
      <c r="I11" s="23" t="s">
        <v>107</v>
      </c>
      <c r="J11" s="23" t="s">
        <v>98</v>
      </c>
      <c r="K11" s="34">
        <v>45812</v>
      </c>
      <c r="L11" s="34">
        <v>45930</v>
      </c>
      <c r="M11" s="25">
        <v>33</v>
      </c>
      <c r="N11" s="23" t="s">
        <v>99</v>
      </c>
      <c r="O11" s="23"/>
    </row>
    <row r="12" spans="1:15" ht="15" thickBot="1" x14ac:dyDescent="0.35">
      <c r="A12" s="38" t="s">
        <v>108</v>
      </c>
      <c r="B12" s="41">
        <v>49368</v>
      </c>
      <c r="C12" s="43"/>
      <c r="D12" s="45">
        <v>45823</v>
      </c>
      <c r="E12" s="47">
        <v>45945</v>
      </c>
      <c r="F12" s="43"/>
      <c r="G12" s="43" t="s">
        <v>95</v>
      </c>
      <c r="H12" s="38">
        <v>111745425</v>
      </c>
      <c r="I12" s="23" t="s">
        <v>109</v>
      </c>
      <c r="J12" s="23" t="s">
        <v>98</v>
      </c>
      <c r="K12" s="34">
        <v>45824</v>
      </c>
      <c r="L12" s="34">
        <v>45945</v>
      </c>
      <c r="M12" s="25">
        <v>33</v>
      </c>
      <c r="N12" s="23" t="s">
        <v>99</v>
      </c>
      <c r="O12" s="23"/>
    </row>
    <row r="13" spans="1:15" ht="15" thickBot="1" x14ac:dyDescent="0.35">
      <c r="A13" s="40"/>
      <c r="B13" s="42"/>
      <c r="C13" s="44"/>
      <c r="D13" s="46"/>
      <c r="E13" s="48"/>
      <c r="F13" s="44"/>
      <c r="G13" s="44"/>
      <c r="H13" s="40"/>
      <c r="I13" s="33" t="s">
        <v>110</v>
      </c>
      <c r="J13" s="33" t="s">
        <v>98</v>
      </c>
      <c r="K13" s="35">
        <v>45859</v>
      </c>
      <c r="L13" s="35">
        <v>45945</v>
      </c>
      <c r="M13" s="31">
        <v>33</v>
      </c>
      <c r="N13" s="33" t="s">
        <v>99</v>
      </c>
      <c r="O13" s="23" t="s">
        <v>111</v>
      </c>
    </row>
  </sheetData>
  <mergeCells count="43">
    <mergeCell ref="F1:F2"/>
    <mergeCell ref="A1:A2"/>
    <mergeCell ref="B1:B2"/>
    <mergeCell ref="C1:C2"/>
    <mergeCell ref="D1:D2"/>
    <mergeCell ref="E1:E2"/>
    <mergeCell ref="F9:F10"/>
    <mergeCell ref="O1:O2"/>
    <mergeCell ref="A3:A8"/>
    <mergeCell ref="B3:B8"/>
    <mergeCell ref="C3:C8"/>
    <mergeCell ref="D3:D8"/>
    <mergeCell ref="E3:E8"/>
    <mergeCell ref="F3:F8"/>
    <mergeCell ref="G3:G8"/>
    <mergeCell ref="H3:H8"/>
    <mergeCell ref="G1:G2"/>
    <mergeCell ref="H1:H2"/>
    <mergeCell ref="I1:I2"/>
    <mergeCell ref="J1:J2"/>
    <mergeCell ref="M1:M2"/>
    <mergeCell ref="N1:N2"/>
    <mergeCell ref="A9:A10"/>
    <mergeCell ref="B9:B10"/>
    <mergeCell ref="C9:C10"/>
    <mergeCell ref="D9:D10"/>
    <mergeCell ref="E9:E10"/>
    <mergeCell ref="N9:N10"/>
    <mergeCell ref="O9:O10"/>
    <mergeCell ref="A12:A13"/>
    <mergeCell ref="B12:B13"/>
    <mergeCell ref="C12:C13"/>
    <mergeCell ref="D12:D13"/>
    <mergeCell ref="E12:E13"/>
    <mergeCell ref="F12:F13"/>
    <mergeCell ref="G12:G13"/>
    <mergeCell ref="H12:H13"/>
    <mergeCell ref="G9:G10"/>
    <mergeCell ref="I9:I10"/>
    <mergeCell ref="J9:J10"/>
    <mergeCell ref="K9:K10"/>
    <mergeCell ref="L9:L10"/>
    <mergeCell ref="M9:M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</vt:lpstr>
      <vt:lpstr>Project Lists</vt:lpstr>
      <vt:lpstr>SOW list</vt:lpstr>
    </vt:vector>
  </TitlesOfParts>
  <Manager/>
  <Company>Zebra Technologies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Gomathinayagam, Palanivel</dc:creator>
  <cp:keywords/>
  <dc:description/>
  <cp:lastModifiedBy>Sharma, Nimesh</cp:lastModifiedBy>
  <cp:revision/>
  <dcterms:created xsi:type="dcterms:W3CDTF">2024-09-06T10:57:43Z</dcterms:created>
  <dcterms:modified xsi:type="dcterms:W3CDTF">2025-12-05T15:48:48Z</dcterms:modified>
  <cp:category/>
  <cp:contentStatus/>
</cp:coreProperties>
</file>